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yg\Downloads\"/>
    </mc:Choice>
  </mc:AlternateContent>
  <xr:revisionPtr revIDLastSave="0" documentId="13_ncr:1_{E17F3A70-4F55-43E1-8177-60B274BABF15}" xr6:coauthVersionLast="47" xr6:coauthVersionMax="47" xr10:uidLastSave="{00000000-0000-0000-0000-000000000000}"/>
  <bookViews>
    <workbookView xWindow="67080" yWindow="-120" windowWidth="29040" windowHeight="15720" firstSheet="1" activeTab="1" xr2:uid="{96171D9C-77F3-4B5D-BE83-D35361AE3CA5}"/>
  </bookViews>
  <sheets>
    <sheet name="Kreyszig &amp; Mhaskar data" sheetId="1" r:id="rId1"/>
    <sheet name="Cubic Spline Error Tab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2" l="1"/>
  <c r="H54" i="2"/>
  <c r="I53" i="2"/>
  <c r="H53" i="2"/>
  <c r="I46" i="2"/>
  <c r="H46" i="2"/>
  <c r="I51" i="2"/>
  <c r="H51" i="2"/>
  <c r="I55" i="2"/>
  <c r="H55" i="2"/>
  <c r="I52" i="2"/>
  <c r="H52" i="2"/>
  <c r="I49" i="2"/>
  <c r="H49" i="2"/>
  <c r="I50" i="2"/>
  <c r="H50" i="2"/>
  <c r="I47" i="2"/>
  <c r="H47" i="2"/>
  <c r="I48" i="2"/>
  <c r="H48" i="2"/>
  <c r="I45" i="2"/>
  <c r="H45" i="2"/>
  <c r="I25" i="2"/>
  <c r="H25" i="2"/>
  <c r="I20" i="2"/>
  <c r="H20" i="2"/>
  <c r="I16" i="2"/>
  <c r="H16" i="2"/>
  <c r="I22" i="2"/>
  <c r="H22" i="2"/>
  <c r="I24" i="2"/>
  <c r="H24" i="2"/>
  <c r="I23" i="2"/>
  <c r="H23" i="2"/>
  <c r="I19" i="2"/>
  <c r="H19" i="2"/>
  <c r="I21" i="2"/>
  <c r="H21" i="2"/>
  <c r="I17" i="2"/>
  <c r="H17" i="2"/>
  <c r="I18" i="2"/>
  <c r="H18" i="2"/>
  <c r="I15" i="2"/>
  <c r="H15" i="2"/>
  <c r="H9" i="2"/>
  <c r="I9" i="2"/>
  <c r="H38" i="2"/>
  <c r="I38" i="2"/>
  <c r="H43" i="2"/>
  <c r="I43" i="2"/>
  <c r="H11" i="2"/>
  <c r="I11" i="2"/>
  <c r="H42" i="2"/>
  <c r="H114" i="2"/>
  <c r="I129" i="2"/>
  <c r="H129" i="2"/>
  <c r="I128" i="2"/>
  <c r="H128" i="2"/>
  <c r="I127" i="2"/>
  <c r="H127" i="2"/>
  <c r="I126" i="2"/>
  <c r="H126" i="2"/>
  <c r="I125" i="2"/>
  <c r="H125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35" i="2"/>
  <c r="I34" i="2"/>
  <c r="H34" i="2"/>
  <c r="I37" i="2"/>
  <c r="H37" i="2"/>
  <c r="I39" i="2"/>
  <c r="H39" i="2"/>
  <c r="I41" i="2"/>
  <c r="H41" i="2"/>
  <c r="I42" i="2"/>
  <c r="I36" i="2"/>
  <c r="H36" i="2"/>
  <c r="I33" i="2"/>
  <c r="H33" i="2"/>
  <c r="I40" i="2"/>
  <c r="H40" i="2"/>
  <c r="I35" i="2"/>
  <c r="I107" i="2"/>
  <c r="I106" i="2"/>
  <c r="I105" i="2"/>
  <c r="I104" i="2"/>
  <c r="I103" i="2"/>
  <c r="I102" i="2"/>
  <c r="I101" i="2"/>
  <c r="I100" i="2"/>
  <c r="I99" i="2"/>
  <c r="H107" i="2"/>
  <c r="H106" i="2"/>
  <c r="H105" i="2"/>
  <c r="H104" i="2"/>
  <c r="H103" i="2"/>
  <c r="H102" i="2"/>
  <c r="H101" i="2"/>
  <c r="H100" i="2"/>
  <c r="H99" i="2"/>
  <c r="I96" i="2"/>
  <c r="I95" i="2"/>
  <c r="I94" i="2"/>
  <c r="I93" i="2"/>
  <c r="I92" i="2"/>
  <c r="I91" i="2"/>
  <c r="I90" i="2"/>
  <c r="I89" i="2"/>
  <c r="I88" i="2"/>
  <c r="H96" i="2"/>
  <c r="H95" i="2"/>
  <c r="H94" i="2"/>
  <c r="H93" i="2"/>
  <c r="H92" i="2"/>
  <c r="H91" i="2"/>
  <c r="H90" i="2"/>
  <c r="H89" i="2"/>
  <c r="H88" i="2"/>
  <c r="I5" i="2"/>
  <c r="I12" i="2"/>
  <c r="I3" i="2"/>
  <c r="I6" i="2"/>
  <c r="I13" i="2"/>
  <c r="I7" i="2"/>
  <c r="I10" i="2"/>
  <c r="I8" i="2"/>
  <c r="I4" i="2"/>
  <c r="H5" i="2"/>
  <c r="H12" i="2"/>
  <c r="H3" i="2"/>
  <c r="H6" i="2"/>
  <c r="H13" i="2"/>
  <c r="H7" i="2"/>
  <c r="H10" i="2"/>
  <c r="H8" i="2"/>
  <c r="H4" i="2"/>
</calcChain>
</file>

<file path=xl/sharedStrings.xml><?xml version="1.0" encoding="utf-8"?>
<sst xmlns="http://schemas.openxmlformats.org/spreadsheetml/2006/main" count="444" uniqueCount="106">
  <si>
    <t>Cubic Spline Data Collection (L_2 and L-inf)</t>
  </si>
  <si>
    <t>Number</t>
  </si>
  <si>
    <t>Failure, same pattern arises as before.</t>
  </si>
  <si>
    <t>At this point, I started to use Nmaximize within the domain since answers using maxvalue became divergent</t>
  </si>
  <si>
    <t>2/27/23 Goal: Update L^2 bound cols</t>
  </si>
  <si>
    <t>Changes to be made: Abs[f''''(x)] to L_inf bound</t>
  </si>
  <si>
    <t>Update L^2 value cols</t>
  </si>
  <si>
    <t>Create Mhaskar &amp; Pai spline general prog</t>
  </si>
  <si>
    <t>Figure out how to format graphs in Latex</t>
  </si>
  <si>
    <t>Norm edits in thesis doc</t>
  </si>
  <si>
    <t>Next Up:</t>
  </si>
  <si>
    <t>Nonsymmetric partitions starting at 0</t>
  </si>
  <si>
    <t>Function</t>
  </si>
  <si>
    <t>Partition</t>
  </si>
  <si>
    <t>Interval</t>
  </si>
  <si>
    <t>n</t>
  </si>
  <si>
    <t>L_2</t>
  </si>
  <si>
    <t>L_inf</t>
  </si>
  <si>
    <t>L_2 Bound</t>
  </si>
  <si>
    <t>L_inf Bound</t>
  </si>
  <si>
    <t>x^4</t>
  </si>
  <si>
    <t>{0,1,2}</t>
  </si>
  <si>
    <t>[0,2]</t>
  </si>
  <si>
    <t>sin(x)</t>
  </si>
  <si>
    <t>cos(x)</t>
  </si>
  <si>
    <t>Note: Put Abs[] around f[x]-p[x] in the maximums</t>
  </si>
  <si>
    <t>x^2sin(x)</t>
  </si>
  <si>
    <t>x^2cos(x)</t>
  </si>
  <si>
    <t>x^3sin(x)</t>
  </si>
  <si>
    <t>Note: Revisit Orange boxes, light greens</t>
  </si>
  <si>
    <t>x^3cos(x)</t>
  </si>
  <si>
    <t>e^-x^2</t>
  </si>
  <si>
    <t>Revisited but no significant changes, ask Dr. McCormick</t>
  </si>
  <si>
    <t>ln(x+1)</t>
  </si>
  <si>
    <t>Column1</t>
  </si>
  <si>
    <t>Checked</t>
  </si>
  <si>
    <t>{0,1.5,2}</t>
  </si>
  <si>
    <t>Nonsymmetric, altered partitions (2 functions, 7 iterations)</t>
  </si>
  <si>
    <t>{0, 1.25,2}</t>
  </si>
  <si>
    <t>{0,1.9,2}</t>
  </si>
  <si>
    <t>{0,0.9,2}</t>
  </si>
  <si>
    <t>{0,0.5,2}</t>
  </si>
  <si>
    <t>{0,1.1, 1.01,...}</t>
  </si>
  <si>
    <t>{0,0.3,2}</t>
  </si>
  <si>
    <t>{0, 0.001,2}</t>
  </si>
  <si>
    <t>Note: Change partitions such that there are only small changes between data points.</t>
  </si>
  <si>
    <t>{0, 1.9,2}</t>
  </si>
  <si>
    <t>Be progressively approaching towards right-most endpoint</t>
  </si>
  <si>
    <t>Use between 1-2 functions with these different partitions.</t>
  </si>
  <si>
    <t>{0,1.25,2}</t>
  </si>
  <si>
    <t>By Monday:</t>
  </si>
  <si>
    <t>Fill out tables on this shared spreadsheet</t>
  </si>
  <si>
    <t>Add a few partitions to third table to reflect approaching endpoints (changes the delta magnitude)</t>
  </si>
  <si>
    <t>{0,0.001,2}</t>
  </si>
  <si>
    <t>Have multiple code files for each function, have corresponding id number.</t>
  </si>
  <si>
    <t>After reviewing/error checking, pushing towards higher partition number. (Goal for next week)</t>
  </si>
  <si>
    <t>As of 1/31: Thm on pg. 169 holds for all the above cases.</t>
  </si>
  <si>
    <t xml:space="preserve">Same functions but with n=5 </t>
  </si>
  <si>
    <t>{0,0.5,1,1.5,2}</t>
  </si>
  <si>
    <t xml:space="preserve">Functions tested with bigger n (nested partitions) </t>
  </si>
  <si>
    <t>{0,0.25,0.5,0.75,1,1.25,1.5,1.75,2}</t>
  </si>
  <si>
    <t>{0,0.625,1.25,1.875,2}</t>
  </si>
  <si>
    <t>Up to 13 data points due to computer limitations</t>
  </si>
  <si>
    <t>{0,0.1,1,1.1,2}</t>
  </si>
  <si>
    <t>{0,0.2,0.4,0.6,0.8,1,1.2,1.4,1.6,1.8,2}</t>
  </si>
  <si>
    <t>{0,0.001,1,1.001,2}</t>
  </si>
  <si>
    <t>{0,0.0001,1,1.0001,2}</t>
  </si>
  <si>
    <t>{0,0.3,0.5,0.7,1.3,1.5,1.7,2}</t>
  </si>
  <si>
    <t>Question to consider: Do some functions have sharper bounds than others? if so, which ones?</t>
  </si>
  <si>
    <t>{0,0.25,0.5,1,1.75,2}</t>
  </si>
  <si>
    <t>{0,0.1,0.2,0.3,0.4,0.5,1,1.1,1.2,1.3,1.4,1.5,2}</t>
  </si>
  <si>
    <t>Find max for this function, multiply by the maximum of each partition's difference</t>
  </si>
  <si>
    <t>Check the absolute value for the NMaximize</t>
  </si>
  <si>
    <t>Spot check each table, starting at bottom and going to top.</t>
  </si>
  <si>
    <t>By Friday!</t>
  </si>
  <si>
    <t>Note: |delta|=sqrt(sum of differences between partition points and individually square them)</t>
  </si>
  <si>
    <t>Determine which bounds are sharp (meaning the bound is really small (ex:0.1 is not as sharp as 0.00008 for example)</t>
  </si>
  <si>
    <t>Consider making another col with the max values and use excel to multiply by the theorem constant to get the L_inf and L_2 bounds.</t>
  </si>
  <si>
    <t>Make notes regarding differences/observations about data collection once rechecking is complete.</t>
  </si>
  <si>
    <t>In thm 2, abs(delta) in (22) is different from (21).</t>
  </si>
  <si>
    <t>(22) is taking the supremum of the differences of data points to the fourth.</t>
  </si>
  <si>
    <r>
      <rPr>
        <sz val="11"/>
        <color rgb="FF00B050"/>
        <rFont val="Calibri"/>
      </rPr>
      <t>Observations</t>
    </r>
    <r>
      <rPr>
        <sz val="11"/>
        <color rgb="FF000000"/>
        <rFont val="Calibri"/>
      </rPr>
      <t>:  TThe cubic splines do not perform well on partitions that are too unbalanced, such as the ones marked with red boxes above. This is evident bc the bounds of both L_2 and L_inf are less than their left hand values.</t>
    </r>
  </si>
  <si>
    <t>The splines perform better on partitions that are equidistant or near equidistant.</t>
  </si>
  <si>
    <t>cos(x) and e^-x^2 dont do well with {0,1,2} but performs better when the splines have more data points.</t>
  </si>
  <si>
    <t>x^2sin(x) is a function that has a bigger fifth derivative.</t>
  </si>
  <si>
    <t>Tell Dr. McCormick that Mhaskar spline functions were the same as Kreyszig for x^4</t>
  </si>
  <si>
    <t>Observation: The same spline phenomenon only occurs on equally spaced partitions.</t>
  </si>
  <si>
    <t>Test more equidistant partitions (ex:.1 step size)</t>
  </si>
  <si>
    <t>.016 step size</t>
  </si>
  <si>
    <t>unbalanced partitions without 1 as mid</t>
  </si>
  <si>
    <t>{0,0.25,0.5,0.75,1.25,1.5,1.62,1.75,2}</t>
  </si>
  <si>
    <t>{0,0.625,1.875, 1.95,2}</t>
  </si>
  <si>
    <t>{0,0.1,0.4,1.1,2}</t>
  </si>
  <si>
    <t>{0,0.2,0.4,0.6,0.8,1.2,1.4,1.6,1.7,1.8,2}</t>
  </si>
  <si>
    <t>{0,0.001,0.0099,1.001,2}</t>
  </si>
  <si>
    <t>Kreyszig Splines</t>
  </si>
  <si>
    <t>L_inf Norm Calc</t>
  </si>
  <si>
    <t>L_2 Norm Calc</t>
  </si>
  <si>
    <t>L_2 Rel Err</t>
  </si>
  <si>
    <t>L_inf Rel Err</t>
  </si>
  <si>
    <t>x^4 sin(x)</t>
  </si>
  <si>
    <t>x^4 cos(x)</t>
  </si>
  <si>
    <t>{0, 0.001, 0.01, 0.1 , 2}</t>
  </si>
  <si>
    <t xml:space="preserve">Mhaskar and Pai </t>
  </si>
  <si>
    <t>Kreizig splines</t>
  </si>
  <si>
    <t>Mhaskar and 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</si>
</sst>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4" borderId="1" xfId="0" applyFont="1" applyFill="1" applyBorder="1"/>
    <xf numFmtId="0" fontId="0" fillId="5" borderId="2" xfId="0" applyFill="1" applyBorder="1"/>
    <xf numFmtId="0" fontId="0" fillId="0" borderId="2" xfId="0" applyBorder="1"/>
    <xf numFmtId="0" fontId="0" fillId="6" borderId="0" xfId="0" applyFill="1"/>
    <xf numFmtId="0" fontId="0" fillId="7" borderId="2" xfId="0" applyFill="1" applyBorder="1"/>
    <xf numFmtId="11" fontId="0" fillId="7" borderId="2" xfId="0" applyNumberFormat="1" applyFill="1" applyBorder="1"/>
    <xf numFmtId="0" fontId="0" fillId="8" borderId="0" xfId="0" applyFill="1"/>
    <xf numFmtId="11" fontId="0" fillId="8" borderId="0" xfId="0" applyNumberFormat="1" applyFill="1"/>
    <xf numFmtId="11" fontId="0" fillId="8" borderId="2" xfId="0" applyNumberFormat="1" applyFill="1" applyBorder="1"/>
    <xf numFmtId="0" fontId="0" fillId="8" borderId="2" xfId="0" applyFill="1" applyBorder="1"/>
    <xf numFmtId="11" fontId="0" fillId="9" borderId="0" xfId="0" applyNumberFormat="1" applyFill="1"/>
    <xf numFmtId="0" fontId="0" fillId="9" borderId="0" xfId="0" applyFill="1"/>
    <xf numFmtId="0" fontId="5" fillId="0" borderId="0" xfId="0" applyFont="1"/>
    <xf numFmtId="0" fontId="6" fillId="9" borderId="0" xfId="0" applyFont="1" applyFill="1"/>
    <xf numFmtId="0" fontId="0" fillId="10" borderId="0" xfId="0" applyFill="1"/>
    <xf numFmtId="0" fontId="6" fillId="10" borderId="0" xfId="0" applyFont="1" applyFill="1"/>
    <xf numFmtId="0" fontId="0" fillId="10" borderId="2" xfId="0" applyFill="1" applyBorder="1"/>
    <xf numFmtId="11" fontId="0" fillId="10" borderId="0" xfId="0" applyNumberFormat="1" applyFill="1"/>
    <xf numFmtId="11" fontId="0" fillId="10" borderId="2" xfId="0" applyNumberFormat="1" applyFill="1" applyBorder="1"/>
    <xf numFmtId="11" fontId="0" fillId="0" borderId="2" xfId="0" applyNumberFormat="1" applyBorder="1"/>
    <xf numFmtId="0" fontId="0" fillId="0" borderId="0" xfId="0" applyAlignment="1">
      <alignment wrapText="1"/>
    </xf>
    <xf numFmtId="11" fontId="0" fillId="0" borderId="0" xfId="0" applyNumberFormat="1"/>
    <xf numFmtId="0" fontId="0" fillId="5" borderId="0" xfId="0" applyFill="1"/>
    <xf numFmtId="0" fontId="0" fillId="5" borderId="3" xfId="0" applyFill="1" applyBorder="1" applyAlignment="1">
      <alignment wrapText="1"/>
    </xf>
    <xf numFmtId="0" fontId="0" fillId="11" borderId="0" xfId="0" applyFill="1"/>
    <xf numFmtId="0" fontId="0" fillId="5" borderId="0" xfId="0" applyFill="1" applyBorder="1" applyAlignment="1">
      <alignment wrapText="1"/>
    </xf>
    <xf numFmtId="0" fontId="0" fillId="5" borderId="3" xfId="0" applyFill="1" applyBorder="1"/>
  </cellXfs>
  <cellStyles count="1">
    <cellStyle name="Normal" xfId="0" builtinId="0"/>
  </cellStyles>
  <dxfs count="18">
    <dxf>
      <fill>
        <patternFill patternType="solid">
          <fgColor indexed="64"/>
          <bgColor rgb="FF92D050"/>
        </patternFill>
      </fill>
    </dxf>
    <dxf>
      <fill>
        <patternFill patternType="none"/>
      </fill>
    </dxf>
    <dxf>
      <numFmt numFmtId="0" formatCode="General"/>
      <fill>
        <patternFill patternType="none">
          <fgColor indexed="64"/>
          <bgColor rgb="FF00B050"/>
        </patternFill>
      </fill>
    </dxf>
    <dxf>
      <numFmt numFmtId="0" formatCode="General"/>
      <fill>
        <patternFill patternType="none">
          <fgColor indexed="64"/>
          <bgColor rgb="FF00B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>
          <fgColor indexed="64"/>
          <bgColor rgb="FF92D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/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235BA-03BA-4BA6-9585-C3726E8159D5}" name="Table1" displayName="Table1" ref="B21:I30" totalsRowShown="0">
  <autoFilter ref="B21:I30" xr:uid="{BEA235BA-03BA-4BA6-9585-C3726E8159D5}"/>
  <tableColumns count="8">
    <tableColumn id="1" xr3:uid="{27AF4A83-7345-4662-A995-7BA35DA8710E}" name="Function"/>
    <tableColumn id="2" xr3:uid="{990E5539-11CC-4EFF-9B16-D99EC810E30A}" name="Partition"/>
    <tableColumn id="3" xr3:uid="{87E7CDF1-C1E2-448F-A6F9-F864A44F5CAC}" name="Interval"/>
    <tableColumn id="4" xr3:uid="{3D52A1E0-33C6-459F-997A-FB5618860ADD}" name="n"/>
    <tableColumn id="5" xr3:uid="{B5CB3C7C-3CE4-44F4-9832-802F11B6F09B}" name="L_2"/>
    <tableColumn id="6" xr3:uid="{E2F13620-6556-4959-BFE8-EBF733EAEC88}" name="L_inf" dataDxfId="17"/>
    <tableColumn id="7" xr3:uid="{16A532AC-9A5E-4E65-861B-19D622E54BFF}" name="L_2 Bound" dataDxfId="16"/>
    <tableColumn id="8" xr3:uid="{BC80DD20-16B3-4C1C-96E0-332EA0B751E7}" name="L_inf Bound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EB3858-399B-40C9-B4F7-C668A84E41E6}" name="Table3" displayName="Table3" ref="B34:J55" totalsRowShown="0">
  <autoFilter ref="B34:J55" xr:uid="{8FEB3858-399B-40C9-B4F7-C668A84E41E6}"/>
  <tableColumns count="9">
    <tableColumn id="1" xr3:uid="{6AD68CBE-39EE-4B55-99B3-62C36CFE6269}" name="Function"/>
    <tableColumn id="2" xr3:uid="{A7C14D75-E20B-4A5B-AAC0-0F7F490FCB2A}" name="Partition"/>
    <tableColumn id="3" xr3:uid="{E426EE98-76B7-4990-BA38-DEC9B9DE774C}" name="Interval"/>
    <tableColumn id="4" xr3:uid="{AB8FAE9A-2D82-46D7-B49E-F4CAA6577BF8}" name="n"/>
    <tableColumn id="5" xr3:uid="{383D6760-3904-4E0E-89D9-2929439A0DF9}" name="L_2"/>
    <tableColumn id="6" xr3:uid="{E79E7084-0036-4C49-B877-48668A3AB0E3}" name="L_inf" dataDxfId="14"/>
    <tableColumn id="7" xr3:uid="{510014D7-2C44-4DE3-8C7F-F925B0D98CE6}" name="L_2 Bound" dataDxfId="13"/>
    <tableColumn id="8" xr3:uid="{AEA7AB9F-C86D-4065-9005-E12652CBC053}" name="L_inf Bound" dataDxfId="12"/>
    <tableColumn id="9" xr3:uid="{5B940B46-F6FF-4A70-A232-9942B3B3F772}" name="Column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7C074-1812-40BA-AF45-32ECE36CF3DD}" name="Table13" displayName="Table13" ref="B61:I70" totalsRowShown="0">
  <autoFilter ref="B61:I70" xr:uid="{25D7C074-1812-40BA-AF45-32ECE36CF3DD}"/>
  <tableColumns count="8">
    <tableColumn id="1" xr3:uid="{A2FE60B2-6212-4CE6-AFF5-FD0EA2F00740}" name="Function"/>
    <tableColumn id="2" xr3:uid="{0506E5CB-9E63-4486-A2E4-BC5DA754A158}" name="Partition"/>
    <tableColumn id="3" xr3:uid="{9E8D9F74-CF60-4D87-BE4F-BC11334A9F5B}" name="Interval"/>
    <tableColumn id="4" xr3:uid="{7EA79DC7-14E0-4871-93C5-AF0F42B46C40}" name="n"/>
    <tableColumn id="5" xr3:uid="{F5B08CAA-FFC4-4231-BF80-D43E67266006}" name="L_2"/>
    <tableColumn id="6" xr3:uid="{01415B8F-849B-4FA5-9B48-457B0DF2ED22}" name="L_inf" dataDxfId="11"/>
    <tableColumn id="7" xr3:uid="{1A0188FC-F3F5-4A39-98FB-C555FE44C68E}" name="L_2 Bound" dataDxfId="10"/>
    <tableColumn id="8" xr3:uid="{82B4CE85-29C5-4B81-AEFE-E3C9E4CA75FA}" name="L_inf Bound" dataDxfId="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FF7A78-4993-44C4-AB98-ABF93A249AE0}" name="Table136" displayName="Table136" ref="B118:I127" totalsRowShown="0">
  <autoFilter ref="B118:I127" xr:uid="{6CFF7A78-4993-44C4-AB98-ABF93A249AE0}"/>
  <tableColumns count="8">
    <tableColumn id="1" xr3:uid="{33EF911E-C28D-4E5D-89F4-A60FF33E33AF}" name="Function"/>
    <tableColumn id="2" xr3:uid="{B6E15983-F55B-40A5-93BD-9E4BE89F7A23}" name="Partition"/>
    <tableColumn id="3" xr3:uid="{4761BCF1-68D6-47B9-AC1C-7DDC5827DC41}" name="Interval"/>
    <tableColumn id="4" xr3:uid="{D4654148-85C5-4101-BB25-D5292B83461C}" name="n"/>
    <tableColumn id="5" xr3:uid="{34C52894-8E88-48E5-945E-2690DBE22423}" name="L_2" dataDxfId="8"/>
    <tableColumn id="6" xr3:uid="{92B21D83-628A-43EE-8757-3D5B52F2E8A6}" name="L_inf" dataDxfId="7"/>
    <tableColumn id="7" xr3:uid="{2C98C2D7-C8CB-4986-BA43-EA6DCAA3CB1B}" name="L_2 Bound" dataDxfId="6"/>
    <tableColumn id="8" xr3:uid="{3FEAE201-939B-4990-96D3-049138852A91}" name="L_inf Bound" dataDxfId="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D37A0E-87D4-4F65-AD4C-0D23C9683F1B}" name="Table138" displayName="Table138" ref="B2:I13" totalsRowShown="0">
  <autoFilter ref="B2:I13" xr:uid="{B8D37A0E-87D4-4F65-AD4C-0D23C9683F1B}"/>
  <sortState xmlns:xlrd2="http://schemas.microsoft.com/office/spreadsheetml/2017/richdata2" ref="B3:I13">
    <sortCondition ref="H3:H13"/>
  </sortState>
  <tableColumns count="8">
    <tableColumn id="1" xr3:uid="{7D81EC0A-2A5E-4557-9C96-FF5D529DA226}" name="Function"/>
    <tableColumn id="2" xr3:uid="{131FD602-3401-44EA-AE29-2A14D9126BE0}" name="Partition"/>
    <tableColumn id="3" xr3:uid="{5F61ED70-E0AB-4A7A-929F-D36FC730EDA1}" name="L_inf Norm Calc"/>
    <tableColumn id="4" xr3:uid="{BD0B78BD-94AF-45D2-87AA-53597094859C}" name="L_2 Norm Calc"/>
    <tableColumn id="5" xr3:uid="{5F510683-4711-4227-9A04-74F50FF6F066}" name="L_2"/>
    <tableColumn id="6" xr3:uid="{B5BA83CF-8653-4DF7-B9D7-CFEF78AD9A27}" name="L_inf" dataDxfId="4"/>
    <tableColumn id="9" xr3:uid="{699BC78D-BF3C-442E-996B-E5259BDE0AF0}" name="L_2 Rel Err" dataDxfId="3">
      <calculatedColumnFormula>F3/E3</calculatedColumnFormula>
    </tableColumn>
    <tableColumn id="10" xr3:uid="{98520337-A94B-4914-9281-6159A2CACD8B}" name="L_inf Rel Err" dataDxfId="2">
      <calculatedColumnFormula>G3/D3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EED0A1-17AB-4CE8-93F3-0D7C00F5C6A9}" name="Table1365" displayName="Table1365" ref="B32:I43" totalsRowShown="0">
  <autoFilter ref="B32:I43" xr:uid="{16EED0A1-17AB-4CE8-93F3-0D7C00F5C6A9}"/>
  <sortState xmlns:xlrd2="http://schemas.microsoft.com/office/spreadsheetml/2017/richdata2" ref="B33:I43">
    <sortCondition ref="H33:H43"/>
  </sortState>
  <tableColumns count="8">
    <tableColumn id="1" xr3:uid="{C8289DB8-BC2F-4217-92B0-55F04BAA2263}" name="Function"/>
    <tableColumn id="2" xr3:uid="{3EB671EC-C2B5-445C-8FC2-EC011BE5BF4C}" name="Partition"/>
    <tableColumn id="3" xr3:uid="{BCE86FBF-9E33-494D-BE6F-4977F3724535}" name="L_inf Norm Calc"/>
    <tableColumn id="4" xr3:uid="{504A3FC4-45C2-47CE-A5F8-8DF70194412E}" name="L_2 Norm Calc"/>
    <tableColumn id="5" xr3:uid="{7BFCC750-3EEB-4967-B365-4FE39F03E4D9}" name="L_2" dataDxfId="1"/>
    <tableColumn id="6" xr3:uid="{12615B39-5F40-438F-A3A8-3D4D8773C323}" name="L_inf" dataDxfId="0"/>
    <tableColumn id="9" xr3:uid="{ADCFAC53-18E5-4FB5-AD5B-C42A9DB7033E}" name="L_2 Rel Err">
      <calculatedColumnFormula>F33/E33</calculatedColumnFormula>
    </tableColumn>
    <tableColumn id="10" xr3:uid="{F850D98F-61AB-4986-84F3-A838007A3BA3}" name="L_inf Rel Err">
      <calculatedColumnFormula>G33/D33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325A-FF0C-47F4-9FFD-D0DCC31E0EAA}">
  <dimension ref="A1:Q146"/>
  <sheetViews>
    <sheetView workbookViewId="0">
      <selection activeCell="F133" sqref="F133"/>
    </sheetView>
  </sheetViews>
  <sheetFormatPr defaultColWidth="8.85546875" defaultRowHeight="15" x14ac:dyDescent="0.25"/>
  <cols>
    <col min="1" max="1" width="9.140625"/>
    <col min="2" max="2" width="11.85546875" bestFit="1" customWidth="1"/>
    <col min="3" max="3" width="39" customWidth="1"/>
    <col min="4" max="4" width="10.7109375" bestFit="1" customWidth="1"/>
    <col min="6" max="6" width="24.140625" customWidth="1"/>
    <col min="7" max="7" width="26.42578125" customWidth="1"/>
    <col min="8" max="8" width="23.85546875" customWidth="1"/>
    <col min="9" max="9" width="25.42578125" customWidth="1"/>
    <col min="11" max="11" width="9.28515625" bestFit="1" customWidth="1"/>
  </cols>
  <sheetData>
    <row r="1" spans="1:9" ht="21" x14ac:dyDescent="0.35">
      <c r="B1" s="2" t="s">
        <v>0</v>
      </c>
    </row>
    <row r="3" spans="1:9" x14ac:dyDescent="0.25">
      <c r="A3" t="s">
        <v>1</v>
      </c>
    </row>
    <row r="4" spans="1:9" x14ac:dyDescent="0.25">
      <c r="A4">
        <v>1</v>
      </c>
    </row>
    <row r="5" spans="1:9" x14ac:dyDescent="0.25">
      <c r="A5">
        <v>2</v>
      </c>
      <c r="G5" s="1"/>
      <c r="H5" t="s">
        <v>2</v>
      </c>
    </row>
    <row r="6" spans="1:9" x14ac:dyDescent="0.25">
      <c r="A6">
        <v>3</v>
      </c>
    </row>
    <row r="7" spans="1:9" x14ac:dyDescent="0.25">
      <c r="A7">
        <v>4</v>
      </c>
    </row>
    <row r="8" spans="1:9" x14ac:dyDescent="0.25">
      <c r="A8">
        <v>5</v>
      </c>
    </row>
    <row r="9" spans="1:9" x14ac:dyDescent="0.25">
      <c r="A9">
        <v>6</v>
      </c>
      <c r="B9" t="s">
        <v>3</v>
      </c>
    </row>
    <row r="10" spans="1:9" x14ac:dyDescent="0.25">
      <c r="A10">
        <v>7</v>
      </c>
    </row>
    <row r="11" spans="1:9" x14ac:dyDescent="0.25">
      <c r="A11">
        <v>8</v>
      </c>
    </row>
    <row r="12" spans="1:9" x14ac:dyDescent="0.25">
      <c r="A12">
        <v>9</v>
      </c>
    </row>
    <row r="13" spans="1:9" x14ac:dyDescent="0.25">
      <c r="A13">
        <v>10</v>
      </c>
      <c r="C13" t="s">
        <v>4</v>
      </c>
      <c r="D13" s="19"/>
      <c r="I13" t="s">
        <v>5</v>
      </c>
    </row>
    <row r="14" spans="1:9" x14ac:dyDescent="0.25">
      <c r="A14">
        <v>11</v>
      </c>
      <c r="C14" t="s">
        <v>6</v>
      </c>
      <c r="D14" s="18"/>
    </row>
    <row r="15" spans="1:9" x14ac:dyDescent="0.25">
      <c r="A15">
        <v>12</v>
      </c>
      <c r="C15" t="s">
        <v>7</v>
      </c>
      <c r="D15" s="18"/>
    </row>
    <row r="16" spans="1:9" x14ac:dyDescent="0.25">
      <c r="A16">
        <v>13</v>
      </c>
      <c r="C16" t="s">
        <v>8</v>
      </c>
      <c r="D16" s="17"/>
    </row>
    <row r="17" spans="1:15" x14ac:dyDescent="0.25">
      <c r="A17">
        <v>14</v>
      </c>
      <c r="C17" t="s">
        <v>9</v>
      </c>
      <c r="D17" s="18"/>
      <c r="N17" t="s">
        <v>10</v>
      </c>
      <c r="O17" t="s">
        <v>11</v>
      </c>
    </row>
    <row r="18" spans="1:15" x14ac:dyDescent="0.25">
      <c r="A18">
        <v>15</v>
      </c>
    </row>
    <row r="19" spans="1:15" x14ac:dyDescent="0.25">
      <c r="A19">
        <v>16</v>
      </c>
    </row>
    <row r="20" spans="1:15" x14ac:dyDescent="0.25">
      <c r="A20">
        <v>17</v>
      </c>
    </row>
    <row r="21" spans="1:15" x14ac:dyDescent="0.25">
      <c r="A21">
        <v>18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K21" s="3"/>
    </row>
    <row r="22" spans="1:15" x14ac:dyDescent="0.25">
      <c r="A22">
        <v>19</v>
      </c>
      <c r="B22" t="s">
        <v>20</v>
      </c>
      <c r="C22" t="s">
        <v>21</v>
      </c>
      <c r="D22" t="s">
        <v>22</v>
      </c>
      <c r="E22">
        <v>3</v>
      </c>
      <c r="F22" s="18">
        <v>5.6343588799999997E-2</v>
      </c>
      <c r="G22" s="10">
        <v>6.25E-2</v>
      </c>
      <c r="H22" s="18">
        <v>30.357865539999999</v>
      </c>
      <c r="I22" s="10">
        <v>0.3125</v>
      </c>
    </row>
    <row r="23" spans="1:15" x14ac:dyDescent="0.25">
      <c r="A23">
        <v>20</v>
      </c>
      <c r="B23" t="s">
        <v>23</v>
      </c>
      <c r="C23" t="s">
        <v>21</v>
      </c>
      <c r="D23" t="s">
        <v>22</v>
      </c>
      <c r="E23">
        <v>3</v>
      </c>
      <c r="F23" s="18">
        <v>2.0614069999999999E-3</v>
      </c>
      <c r="G23" s="10">
        <v>3.1030200000000002E-3</v>
      </c>
      <c r="H23" s="18">
        <v>1.0905044699999999</v>
      </c>
      <c r="I23" s="10">
        <v>1.30208333E-2</v>
      </c>
    </row>
    <row r="24" spans="1:15" x14ac:dyDescent="0.25">
      <c r="A24">
        <v>21</v>
      </c>
      <c r="B24" t="s">
        <v>24</v>
      </c>
      <c r="C24" t="s">
        <v>21</v>
      </c>
      <c r="D24" t="s">
        <v>22</v>
      </c>
      <c r="E24">
        <v>3</v>
      </c>
      <c r="F24" s="18">
        <v>0.3996840002</v>
      </c>
      <c r="G24" s="14">
        <v>0.68197300000000005</v>
      </c>
      <c r="H24" s="18">
        <v>0.90044377949999999</v>
      </c>
      <c r="I24" s="15">
        <v>1.30208333E-2</v>
      </c>
      <c r="J24" s="1"/>
      <c r="K24" t="s">
        <v>25</v>
      </c>
    </row>
    <row r="25" spans="1:15" x14ac:dyDescent="0.25">
      <c r="A25">
        <v>22</v>
      </c>
      <c r="B25" t="s">
        <v>26</v>
      </c>
      <c r="C25" t="s">
        <v>21</v>
      </c>
      <c r="D25" t="s">
        <v>22</v>
      </c>
      <c r="E25">
        <v>3</v>
      </c>
      <c r="F25" s="18">
        <v>2.23911366E-2</v>
      </c>
      <c r="G25" s="10">
        <v>2.7845499999999999E-2</v>
      </c>
      <c r="H25" s="18">
        <v>3.4607224680000002</v>
      </c>
      <c r="I25" s="10">
        <v>0.1775221354</v>
      </c>
    </row>
    <row r="26" spans="1:15" x14ac:dyDescent="0.25">
      <c r="A26">
        <v>23</v>
      </c>
      <c r="B26" t="s">
        <v>27</v>
      </c>
      <c r="C26" t="s">
        <v>21</v>
      </c>
      <c r="D26" t="s">
        <v>22</v>
      </c>
      <c r="E26">
        <v>3</v>
      </c>
      <c r="F26" s="18">
        <v>4.3717204900000001E-2</v>
      </c>
      <c r="G26" s="10">
        <v>4.9716799999999998E-2</v>
      </c>
      <c r="H26" s="18">
        <v>5.8671458139999997</v>
      </c>
      <c r="I26" s="10">
        <v>0.23278515620000001</v>
      </c>
    </row>
    <row r="27" spans="1:15" x14ac:dyDescent="0.25">
      <c r="A27">
        <v>24</v>
      </c>
      <c r="B27" t="s">
        <v>28</v>
      </c>
      <c r="C27" t="s">
        <v>21</v>
      </c>
      <c r="D27" t="s">
        <v>22</v>
      </c>
      <c r="E27">
        <v>3</v>
      </c>
      <c r="F27" s="18">
        <v>0.1401890509</v>
      </c>
      <c r="G27" s="10">
        <v>0.19087999999999999</v>
      </c>
      <c r="H27" s="18">
        <v>7.3279669759999999</v>
      </c>
      <c r="I27" s="10">
        <v>0.7095429687</v>
      </c>
      <c r="L27" t="s">
        <v>29</v>
      </c>
    </row>
    <row r="28" spans="1:15" x14ac:dyDescent="0.25">
      <c r="A28">
        <v>25</v>
      </c>
      <c r="B28" t="s">
        <v>30</v>
      </c>
      <c r="C28" t="s">
        <v>21</v>
      </c>
      <c r="D28" t="s">
        <v>22</v>
      </c>
      <c r="E28">
        <v>3</v>
      </c>
      <c r="F28" s="18">
        <v>6.3144730600000004E-2</v>
      </c>
      <c r="G28" s="10">
        <v>9.1101000000000001E-2</v>
      </c>
      <c r="H28" s="18">
        <v>14.63512897</v>
      </c>
      <c r="I28" s="10">
        <v>0.63094401040000003</v>
      </c>
    </row>
    <row r="29" spans="1:15" x14ac:dyDescent="0.25">
      <c r="A29">
        <v>26</v>
      </c>
      <c r="B29" t="s">
        <v>31</v>
      </c>
      <c r="C29" t="s">
        <v>21</v>
      </c>
      <c r="D29" t="s">
        <v>22</v>
      </c>
      <c r="E29">
        <v>3</v>
      </c>
      <c r="F29" s="19">
        <v>1.4787132089999999</v>
      </c>
      <c r="G29" s="15">
        <v>2.38103</v>
      </c>
      <c r="H29" s="19">
        <v>1.367402647</v>
      </c>
      <c r="I29" s="15">
        <v>0.15625</v>
      </c>
      <c r="J29" s="1"/>
      <c r="L29" t="s">
        <v>32</v>
      </c>
    </row>
    <row r="30" spans="1:15" x14ac:dyDescent="0.25">
      <c r="A30">
        <v>27</v>
      </c>
      <c r="B30" t="s">
        <v>33</v>
      </c>
      <c r="C30" t="s">
        <v>21</v>
      </c>
      <c r="D30" t="s">
        <v>22</v>
      </c>
      <c r="E30">
        <v>3</v>
      </c>
      <c r="F30" s="18">
        <v>3.2353895000000001E-3</v>
      </c>
      <c r="G30" s="10">
        <v>4.7814700000000003E-3</v>
      </c>
      <c r="H30" s="18">
        <v>0.56655802879999995</v>
      </c>
      <c r="I30" s="11">
        <v>7.8125E-2</v>
      </c>
    </row>
    <row r="31" spans="1:15" x14ac:dyDescent="0.25">
      <c r="A31">
        <v>28</v>
      </c>
    </row>
    <row r="32" spans="1:15" x14ac:dyDescent="0.25">
      <c r="A32">
        <v>29</v>
      </c>
    </row>
    <row r="33" spans="1:14" x14ac:dyDescent="0.25">
      <c r="A33">
        <v>30</v>
      </c>
    </row>
    <row r="34" spans="1:14" x14ac:dyDescent="0.25">
      <c r="A34">
        <v>31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34</v>
      </c>
      <c r="K34" s="3"/>
      <c r="L34" t="s">
        <v>35</v>
      </c>
    </row>
    <row r="35" spans="1:14" x14ac:dyDescent="0.25">
      <c r="A35">
        <v>32</v>
      </c>
      <c r="B35" t="s">
        <v>20</v>
      </c>
      <c r="C35" t="s">
        <v>21</v>
      </c>
      <c r="D35" t="s">
        <v>22</v>
      </c>
      <c r="E35">
        <v>3</v>
      </c>
      <c r="F35" s="18">
        <v>5.6343588999999999E-2</v>
      </c>
      <c r="G35" s="10">
        <v>6.25E-2</v>
      </c>
      <c r="H35" s="18">
        <v>30.357865539999999</v>
      </c>
      <c r="I35" s="10">
        <v>0.3125</v>
      </c>
      <c r="J35">
        <v>24</v>
      </c>
    </row>
    <row r="36" spans="1:14" x14ac:dyDescent="0.25">
      <c r="A36">
        <v>33</v>
      </c>
      <c r="C36" t="s">
        <v>36</v>
      </c>
      <c r="D36" t="s">
        <v>22</v>
      </c>
      <c r="E36">
        <v>3</v>
      </c>
      <c r="F36" s="18">
        <v>0.31012748670000001</v>
      </c>
      <c r="G36" s="11">
        <v>0.38846799999999998</v>
      </c>
      <c r="H36" s="18">
        <v>30.357865539999999</v>
      </c>
      <c r="I36" s="10">
        <v>0.390625</v>
      </c>
      <c r="J36">
        <v>24</v>
      </c>
      <c r="K36" t="s">
        <v>37</v>
      </c>
    </row>
    <row r="37" spans="1:14" x14ac:dyDescent="0.25">
      <c r="A37">
        <v>34</v>
      </c>
      <c r="C37" t="s">
        <v>38</v>
      </c>
      <c r="D37" t="s">
        <v>22</v>
      </c>
      <c r="E37">
        <v>3</v>
      </c>
      <c r="F37" s="18">
        <v>0.13883913070000001</v>
      </c>
      <c r="G37" s="11">
        <v>0.19018599999999999</v>
      </c>
      <c r="H37" s="18">
        <v>30.357865539999999</v>
      </c>
      <c r="I37" s="10">
        <v>0.34765625</v>
      </c>
      <c r="J37">
        <v>24</v>
      </c>
    </row>
    <row r="38" spans="1:14" x14ac:dyDescent="0.25">
      <c r="A38">
        <v>35</v>
      </c>
      <c r="C38" t="s">
        <v>39</v>
      </c>
      <c r="D38" t="s">
        <v>22</v>
      </c>
      <c r="E38">
        <v>3</v>
      </c>
      <c r="F38" s="18">
        <v>0.75602465389999995</v>
      </c>
      <c r="G38" s="15">
        <v>0.85536400000000001</v>
      </c>
      <c r="H38" s="18">
        <v>30.357865539999999</v>
      </c>
      <c r="I38" s="15">
        <v>0.47562500000000002</v>
      </c>
      <c r="J38">
        <v>24</v>
      </c>
      <c r="K38" s="1"/>
    </row>
    <row r="39" spans="1:14" x14ac:dyDescent="0.25">
      <c r="A39">
        <v>36</v>
      </c>
      <c r="C39" t="s">
        <v>40</v>
      </c>
      <c r="D39" t="s">
        <v>22</v>
      </c>
      <c r="E39">
        <v>3</v>
      </c>
      <c r="F39" s="18">
        <v>7.3687583799999998E-2</v>
      </c>
      <c r="G39" s="10">
        <v>3.03024E-2</v>
      </c>
      <c r="H39" s="18">
        <v>30.357865539999999</v>
      </c>
      <c r="I39" s="10">
        <v>0.30062499999999998</v>
      </c>
      <c r="J39">
        <v>24</v>
      </c>
    </row>
    <row r="40" spans="1:14" x14ac:dyDescent="0.25">
      <c r="A40">
        <v>37</v>
      </c>
      <c r="C40" t="s">
        <v>41</v>
      </c>
      <c r="D40" t="s">
        <v>22</v>
      </c>
      <c r="E40">
        <v>3</v>
      </c>
      <c r="F40" s="18">
        <v>0.31013764360000001</v>
      </c>
      <c r="G40" s="15">
        <v>0.38847599999999999</v>
      </c>
      <c r="H40" s="18">
        <v>30.357865539999999</v>
      </c>
      <c r="I40" s="15">
        <v>0.265625</v>
      </c>
      <c r="J40">
        <v>24</v>
      </c>
      <c r="K40" s="1"/>
      <c r="L40" t="s">
        <v>42</v>
      </c>
    </row>
    <row r="41" spans="1:14" x14ac:dyDescent="0.25">
      <c r="A41">
        <v>38</v>
      </c>
      <c r="C41" t="s">
        <v>43</v>
      </c>
      <c r="D41" t="s">
        <v>22</v>
      </c>
      <c r="E41">
        <v>3</v>
      </c>
      <c r="F41" s="18">
        <v>0.50573900859999998</v>
      </c>
      <c r="G41" s="15">
        <v>0.59914500000000004</v>
      </c>
      <c r="H41" s="18">
        <v>30.357865539999999</v>
      </c>
      <c r="I41" s="15">
        <v>0.25562499999999999</v>
      </c>
      <c r="J41">
        <v>24</v>
      </c>
      <c r="K41" s="1"/>
    </row>
    <row r="42" spans="1:14" x14ac:dyDescent="0.25">
      <c r="A42">
        <v>39</v>
      </c>
      <c r="C42" t="s">
        <v>44</v>
      </c>
      <c r="D42" t="s">
        <v>22</v>
      </c>
      <c r="E42">
        <v>3</v>
      </c>
      <c r="F42" s="18">
        <v>0.89997555520000005</v>
      </c>
      <c r="G42" s="15">
        <v>0.99849900000000003</v>
      </c>
      <c r="H42" s="18">
        <v>30.357865539999999</v>
      </c>
      <c r="I42" s="15">
        <v>0.25000006250000001</v>
      </c>
      <c r="J42">
        <v>24</v>
      </c>
      <c r="K42" s="1"/>
      <c r="L42" t="s">
        <v>45</v>
      </c>
    </row>
    <row r="43" spans="1:14" x14ac:dyDescent="0.25">
      <c r="A43">
        <v>40</v>
      </c>
      <c r="G43" s="10"/>
      <c r="H43" s="10"/>
      <c r="I43" s="10"/>
    </row>
    <row r="44" spans="1:14" x14ac:dyDescent="0.25">
      <c r="A44">
        <v>41</v>
      </c>
      <c r="G44" s="10"/>
      <c r="H44" s="10"/>
      <c r="I44" s="10"/>
      <c r="L44" t="s">
        <v>46</v>
      </c>
      <c r="N44" t="s">
        <v>47</v>
      </c>
    </row>
    <row r="45" spans="1:14" x14ac:dyDescent="0.25">
      <c r="A45">
        <v>42</v>
      </c>
      <c r="G45" s="10"/>
      <c r="H45" s="10"/>
      <c r="I45" s="10"/>
    </row>
    <row r="46" spans="1:14" x14ac:dyDescent="0.25">
      <c r="A46">
        <v>43</v>
      </c>
      <c r="B46" t="s">
        <v>23</v>
      </c>
      <c r="C46" t="s">
        <v>21</v>
      </c>
      <c r="D46" t="s">
        <v>22</v>
      </c>
      <c r="E46">
        <v>3</v>
      </c>
      <c r="F46" s="18">
        <v>2.0614069999999999E-3</v>
      </c>
      <c r="G46" s="10">
        <v>3.1030200000000002E-3</v>
      </c>
      <c r="H46" s="18">
        <v>1.0905044699999999</v>
      </c>
      <c r="I46" s="10">
        <v>1.3020833000000001E-2</v>
      </c>
      <c r="J46">
        <v>1</v>
      </c>
      <c r="N46" t="s">
        <v>48</v>
      </c>
    </row>
    <row r="47" spans="1:14" x14ac:dyDescent="0.25">
      <c r="A47">
        <v>44</v>
      </c>
      <c r="C47" t="s">
        <v>36</v>
      </c>
      <c r="D47" t="s">
        <v>22</v>
      </c>
      <c r="E47">
        <v>3</v>
      </c>
      <c r="F47" s="18">
        <v>8.6719724000000002E-3</v>
      </c>
      <c r="G47" s="10">
        <v>1.0918300000000001E-2</v>
      </c>
      <c r="H47" s="18">
        <v>1.0905044699999999</v>
      </c>
      <c r="I47" s="10">
        <v>1.62760417E-2</v>
      </c>
      <c r="J47">
        <v>1</v>
      </c>
    </row>
    <row r="48" spans="1:14" x14ac:dyDescent="0.25">
      <c r="A48">
        <v>45</v>
      </c>
      <c r="C48" t="s">
        <v>49</v>
      </c>
      <c r="D48" t="s">
        <v>22</v>
      </c>
      <c r="E48">
        <v>3</v>
      </c>
      <c r="F48" s="18">
        <v>3.1924551999999999E-3</v>
      </c>
      <c r="G48" s="10">
        <v>4.4084800000000002E-3</v>
      </c>
      <c r="H48" s="18">
        <v>1.0905044699999999</v>
      </c>
      <c r="I48" s="10">
        <v>1.44856771E-2</v>
      </c>
      <c r="J48">
        <v>1</v>
      </c>
    </row>
    <row r="49" spans="1:15" x14ac:dyDescent="0.25">
      <c r="A49">
        <v>46</v>
      </c>
      <c r="C49" t="s">
        <v>39</v>
      </c>
      <c r="D49" t="s">
        <v>22</v>
      </c>
      <c r="E49">
        <v>3</v>
      </c>
      <c r="F49" s="18">
        <v>2.4227985099999998E-2</v>
      </c>
      <c r="G49" s="15">
        <v>2.7530900000000001E-2</v>
      </c>
      <c r="H49" s="18">
        <v>1.0905044699999999</v>
      </c>
      <c r="I49" s="15">
        <v>1.98177083E-2</v>
      </c>
      <c r="J49">
        <v>1</v>
      </c>
      <c r="K49" s="1"/>
    </row>
    <row r="50" spans="1:15" x14ac:dyDescent="0.25">
      <c r="A50">
        <v>47</v>
      </c>
      <c r="C50" t="s">
        <v>40</v>
      </c>
      <c r="D50" t="s">
        <v>22</v>
      </c>
      <c r="E50">
        <v>3</v>
      </c>
      <c r="F50" s="18">
        <v>3.2952239000000002E-3</v>
      </c>
      <c r="G50" s="10">
        <v>4.7884599999999996E-3</v>
      </c>
      <c r="H50" s="18">
        <v>1.0905044699999999</v>
      </c>
      <c r="I50" s="10">
        <v>1.2526041700000001E-2</v>
      </c>
      <c r="J50">
        <v>1</v>
      </c>
      <c r="K50" t="s">
        <v>50</v>
      </c>
    </row>
    <row r="51" spans="1:15" x14ac:dyDescent="0.25">
      <c r="A51">
        <v>48</v>
      </c>
      <c r="C51" t="s">
        <v>41</v>
      </c>
      <c r="D51" t="s">
        <v>22</v>
      </c>
      <c r="E51">
        <v>3</v>
      </c>
      <c r="F51" s="18">
        <v>1.17989394E-2</v>
      </c>
      <c r="G51" s="15">
        <v>1.4782699999999999E-2</v>
      </c>
      <c r="H51" s="18">
        <v>1.0905044699999999</v>
      </c>
      <c r="I51" s="15">
        <v>1.10677083E-2</v>
      </c>
      <c r="J51">
        <v>1</v>
      </c>
      <c r="K51" s="1" t="s">
        <v>51</v>
      </c>
    </row>
    <row r="52" spans="1:15" x14ac:dyDescent="0.25">
      <c r="A52">
        <v>49</v>
      </c>
      <c r="C52" t="s">
        <v>43</v>
      </c>
      <c r="D52" t="s">
        <v>22</v>
      </c>
      <c r="E52">
        <v>3</v>
      </c>
      <c r="F52" s="18">
        <v>1.8072415500000001E-2</v>
      </c>
      <c r="G52" s="15">
        <v>2.14582E-2</v>
      </c>
      <c r="H52" s="18">
        <v>1.0905044699999999</v>
      </c>
      <c r="I52" s="15">
        <v>1.0651041700000001E-2</v>
      </c>
      <c r="J52">
        <v>1</v>
      </c>
      <c r="K52" s="1" t="s">
        <v>52</v>
      </c>
    </row>
    <row r="53" spans="1:15" x14ac:dyDescent="0.25">
      <c r="A53">
        <v>50</v>
      </c>
      <c r="C53" t="s">
        <v>53</v>
      </c>
      <c r="D53" t="s">
        <v>22</v>
      </c>
      <c r="E53">
        <v>3</v>
      </c>
      <c r="F53" s="18">
        <v>0.18113505499999999</v>
      </c>
      <c r="G53" s="15">
        <v>3.2809900000000003E-2</v>
      </c>
      <c r="H53" s="18">
        <v>1.0905044699999999</v>
      </c>
      <c r="I53" s="15">
        <v>1.04166693E-2</v>
      </c>
      <c r="J53">
        <v>1</v>
      </c>
      <c r="K53" s="1" t="s">
        <v>54</v>
      </c>
    </row>
    <row r="54" spans="1:15" x14ac:dyDescent="0.25">
      <c r="A54">
        <v>51</v>
      </c>
      <c r="G54" s="10"/>
      <c r="H54" s="10"/>
      <c r="I54" s="10"/>
      <c r="J54">
        <v>1</v>
      </c>
      <c r="K54" t="s">
        <v>55</v>
      </c>
    </row>
    <row r="55" spans="1:15" x14ac:dyDescent="0.25">
      <c r="A55">
        <v>52</v>
      </c>
      <c r="G55" s="10"/>
      <c r="H55" s="10"/>
      <c r="I55" s="10"/>
      <c r="J55">
        <v>1</v>
      </c>
    </row>
    <row r="56" spans="1:15" x14ac:dyDescent="0.25">
      <c r="A56">
        <v>53</v>
      </c>
    </row>
    <row r="57" spans="1:15" x14ac:dyDescent="0.25">
      <c r="A57">
        <v>54</v>
      </c>
      <c r="L57">
        <v>5</v>
      </c>
    </row>
    <row r="58" spans="1:15" x14ac:dyDescent="0.25">
      <c r="A58">
        <v>55</v>
      </c>
    </row>
    <row r="59" spans="1:15" x14ac:dyDescent="0.25">
      <c r="A59">
        <v>56</v>
      </c>
      <c r="F59" t="s">
        <v>56</v>
      </c>
    </row>
    <row r="60" spans="1:15" x14ac:dyDescent="0.25">
      <c r="A60">
        <v>57</v>
      </c>
    </row>
    <row r="61" spans="1:15" x14ac:dyDescent="0.25">
      <c r="A61">
        <v>58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K61" t="s">
        <v>57</v>
      </c>
      <c r="O61" s="7"/>
    </row>
    <row r="62" spans="1:15" x14ac:dyDescent="0.25">
      <c r="A62">
        <v>59</v>
      </c>
      <c r="B62" t="s">
        <v>20</v>
      </c>
      <c r="C62" t="s">
        <v>58</v>
      </c>
      <c r="D62" t="s">
        <v>22</v>
      </c>
      <c r="E62">
        <v>5</v>
      </c>
      <c r="F62" s="18">
        <v>3.5214769999999999E-3</v>
      </c>
      <c r="G62" s="10">
        <v>3.90625E-3</v>
      </c>
      <c r="H62" s="18">
        <v>30.357865539999999</v>
      </c>
      <c r="I62" s="10">
        <v>0.46875</v>
      </c>
    </row>
    <row r="63" spans="1:15" x14ac:dyDescent="0.25">
      <c r="A63">
        <v>60</v>
      </c>
      <c r="B63" t="s">
        <v>23</v>
      </c>
      <c r="C63" t="s">
        <v>58</v>
      </c>
      <c r="D63" t="s">
        <v>22</v>
      </c>
      <c r="E63">
        <v>5</v>
      </c>
      <c r="F63" s="18">
        <v>1.08333427E-2</v>
      </c>
      <c r="G63" s="10">
        <v>1.6764899999999999E-4</v>
      </c>
      <c r="H63" s="18">
        <v>1.0905044699999999</v>
      </c>
      <c r="I63" s="11">
        <v>1.953125E-2</v>
      </c>
    </row>
    <row r="64" spans="1:15" x14ac:dyDescent="0.25">
      <c r="A64">
        <v>61</v>
      </c>
      <c r="B64" t="s">
        <v>24</v>
      </c>
      <c r="C64" t="s">
        <v>58</v>
      </c>
      <c r="D64" t="s">
        <v>22</v>
      </c>
      <c r="E64">
        <v>5</v>
      </c>
      <c r="F64" s="21">
        <v>1.0316073869999999E-4</v>
      </c>
      <c r="G64" s="11">
        <v>1.68202E-4</v>
      </c>
      <c r="H64" s="18">
        <v>0.90044377949999999</v>
      </c>
      <c r="I64" s="11">
        <v>1.953125E-2</v>
      </c>
    </row>
    <row r="65" spans="1:17" x14ac:dyDescent="0.25">
      <c r="A65">
        <v>62</v>
      </c>
      <c r="B65" t="s">
        <v>26</v>
      </c>
      <c r="C65" t="s">
        <v>58</v>
      </c>
      <c r="D65" t="s">
        <v>22</v>
      </c>
      <c r="E65">
        <v>5</v>
      </c>
      <c r="F65" s="18">
        <v>1.8509551000000001E-3</v>
      </c>
      <c r="G65" s="10">
        <v>2.79474E-3</v>
      </c>
      <c r="H65" s="18">
        <v>3.4607224680000002</v>
      </c>
      <c r="I65" s="10">
        <v>0.26628320309999998</v>
      </c>
    </row>
    <row r="66" spans="1:17" x14ac:dyDescent="0.25">
      <c r="A66">
        <v>63</v>
      </c>
      <c r="B66" t="s">
        <v>27</v>
      </c>
      <c r="C66" t="s">
        <v>58</v>
      </c>
      <c r="D66" t="s">
        <v>22</v>
      </c>
      <c r="E66">
        <v>5</v>
      </c>
      <c r="F66" s="18">
        <v>3.3876803300000001E-2</v>
      </c>
      <c r="G66" s="10">
        <v>0.124988</v>
      </c>
      <c r="H66" s="18">
        <v>5.8671458139999997</v>
      </c>
      <c r="I66" s="10">
        <v>0.34917773439999999</v>
      </c>
    </row>
    <row r="67" spans="1:17" x14ac:dyDescent="0.25">
      <c r="A67">
        <v>64</v>
      </c>
      <c r="B67" t="s">
        <v>28</v>
      </c>
      <c r="C67" t="s">
        <v>58</v>
      </c>
      <c r="D67" t="s">
        <v>22</v>
      </c>
      <c r="E67">
        <v>5</v>
      </c>
      <c r="F67" s="18">
        <v>5.9611726999999996E-3</v>
      </c>
      <c r="G67" s="10">
        <v>9.4793299999999994E-3</v>
      </c>
      <c r="H67" s="18">
        <v>7.3279669759999999</v>
      </c>
      <c r="I67" s="10">
        <v>1.0643144529999999</v>
      </c>
    </row>
    <row r="68" spans="1:17" x14ac:dyDescent="0.25">
      <c r="A68">
        <v>65</v>
      </c>
      <c r="B68" t="s">
        <v>30</v>
      </c>
      <c r="C68" t="s">
        <v>58</v>
      </c>
      <c r="D68" t="s">
        <v>22</v>
      </c>
      <c r="E68">
        <v>5</v>
      </c>
      <c r="F68" s="18">
        <v>5.0319286E-3</v>
      </c>
      <c r="G68" s="10">
        <v>6.6974900000000004E-3</v>
      </c>
      <c r="H68" s="18">
        <v>14.63512897</v>
      </c>
      <c r="I68" s="10">
        <v>0.94641601559999999</v>
      </c>
    </row>
    <row r="69" spans="1:17" x14ac:dyDescent="0.25">
      <c r="A69">
        <v>66</v>
      </c>
      <c r="B69" t="s">
        <v>31</v>
      </c>
      <c r="C69" t="s">
        <v>58</v>
      </c>
      <c r="D69" t="s">
        <v>22</v>
      </c>
      <c r="E69">
        <v>5</v>
      </c>
      <c r="F69" s="18">
        <v>1.5611766E-3</v>
      </c>
      <c r="G69" s="10">
        <v>2.33593E-3</v>
      </c>
      <c r="H69" s="18">
        <v>1.367402647</v>
      </c>
      <c r="I69" s="10">
        <v>0.234375</v>
      </c>
    </row>
    <row r="70" spans="1:17" x14ac:dyDescent="0.25">
      <c r="A70">
        <v>67</v>
      </c>
      <c r="B70" t="s">
        <v>33</v>
      </c>
      <c r="C70" t="s">
        <v>58</v>
      </c>
      <c r="D70" t="s">
        <v>22</v>
      </c>
      <c r="E70">
        <v>5</v>
      </c>
      <c r="F70" s="21">
        <v>2.572419925E-4</v>
      </c>
      <c r="G70" s="11">
        <v>5.46376E-4</v>
      </c>
      <c r="H70" s="18">
        <v>0.56655802879999995</v>
      </c>
      <c r="I70" s="11">
        <v>0.1171875</v>
      </c>
    </row>
    <row r="71" spans="1:17" x14ac:dyDescent="0.25">
      <c r="A71">
        <v>68</v>
      </c>
    </row>
    <row r="72" spans="1:17" x14ac:dyDescent="0.25">
      <c r="A72">
        <v>69</v>
      </c>
    </row>
    <row r="73" spans="1:17" x14ac:dyDescent="0.25">
      <c r="A73">
        <v>70</v>
      </c>
    </row>
    <row r="74" spans="1:17" x14ac:dyDescent="0.25">
      <c r="A74">
        <v>71</v>
      </c>
      <c r="B74" s="4" t="s">
        <v>12</v>
      </c>
      <c r="C74" s="4" t="s">
        <v>13</v>
      </c>
      <c r="D74" s="4" t="s">
        <v>14</v>
      </c>
      <c r="E74" s="4" t="s">
        <v>15</v>
      </c>
      <c r="F74" s="4" t="s">
        <v>16</v>
      </c>
      <c r="G74" s="4" t="s">
        <v>17</v>
      </c>
      <c r="H74" s="4" t="s">
        <v>18</v>
      </c>
      <c r="I74" s="4" t="s">
        <v>19</v>
      </c>
      <c r="K74" t="s">
        <v>59</v>
      </c>
      <c r="Q74" s="7"/>
    </row>
    <row r="75" spans="1:17" x14ac:dyDescent="0.25">
      <c r="A75">
        <v>72</v>
      </c>
      <c r="B75" s="5" t="s">
        <v>20</v>
      </c>
      <c r="C75" s="5" t="s">
        <v>60</v>
      </c>
      <c r="D75" s="5" t="s">
        <v>22</v>
      </c>
      <c r="E75" s="5">
        <v>9</v>
      </c>
      <c r="F75" s="20">
        <v>7.9057299999999997E-3</v>
      </c>
      <c r="G75" s="13">
        <v>3.5156300000000001E-2</v>
      </c>
      <c r="H75" s="20">
        <v>30.357865539999999</v>
      </c>
      <c r="I75" s="12">
        <v>0.796875</v>
      </c>
      <c r="J75">
        <v>24</v>
      </c>
    </row>
    <row r="76" spans="1:17" x14ac:dyDescent="0.25">
      <c r="A76">
        <v>73</v>
      </c>
      <c r="B76" s="6"/>
      <c r="C76" s="6" t="s">
        <v>61</v>
      </c>
      <c r="D76" s="6" t="s">
        <v>22</v>
      </c>
      <c r="E76" s="6">
        <v>5</v>
      </c>
      <c r="F76" s="20">
        <v>8.9272299999999995E-3</v>
      </c>
      <c r="G76" s="12">
        <v>1.1580699999999999E-2</v>
      </c>
      <c r="H76" s="20">
        <v>30.357865539999999</v>
      </c>
      <c r="I76" s="13">
        <v>0.591796875</v>
      </c>
      <c r="K76" t="s">
        <v>62</v>
      </c>
    </row>
    <row r="77" spans="1:17" x14ac:dyDescent="0.25">
      <c r="A77">
        <v>74</v>
      </c>
      <c r="B77" s="5"/>
      <c r="C77" s="5" t="s">
        <v>63</v>
      </c>
      <c r="D77" s="5" t="s">
        <v>22</v>
      </c>
      <c r="E77" s="5">
        <v>5</v>
      </c>
      <c r="F77" s="20">
        <v>4.4641500000000001E-2</v>
      </c>
      <c r="G77" s="9">
        <v>5.31072E-2</v>
      </c>
      <c r="H77" s="20">
        <v>30.357865539999999</v>
      </c>
      <c r="I77" s="13">
        <v>0.38874999999999998</v>
      </c>
    </row>
    <row r="78" spans="1:17" x14ac:dyDescent="0.25">
      <c r="A78">
        <v>75</v>
      </c>
      <c r="B78" s="6"/>
      <c r="C78" s="6" t="s">
        <v>64</v>
      </c>
      <c r="D78" s="6" t="s">
        <v>22</v>
      </c>
      <c r="E78" s="6">
        <v>11</v>
      </c>
      <c r="F78" s="22">
        <v>9.0124979999999994E-5</v>
      </c>
      <c r="G78" s="8">
        <v>1E-4</v>
      </c>
      <c r="H78" s="20">
        <v>30.357865539999999</v>
      </c>
      <c r="I78" s="12">
        <v>0.96250000000000002</v>
      </c>
    </row>
    <row r="79" spans="1:17" x14ac:dyDescent="0.25">
      <c r="A79">
        <v>76</v>
      </c>
      <c r="B79" s="5"/>
      <c r="C79" s="5" t="s">
        <v>65</v>
      </c>
      <c r="D79" s="5" t="s">
        <v>22</v>
      </c>
      <c r="E79" s="5">
        <v>5</v>
      </c>
      <c r="F79" s="20">
        <v>5.6253900000000003E-2</v>
      </c>
      <c r="G79" s="13">
        <v>6.2385000000000003E-2</v>
      </c>
      <c r="H79" s="20">
        <v>30.357865539999999</v>
      </c>
      <c r="I79" s="13">
        <v>0.375125125</v>
      </c>
    </row>
    <row r="80" spans="1:17" x14ac:dyDescent="0.25">
      <c r="A80">
        <v>77</v>
      </c>
      <c r="B80" s="6"/>
      <c r="C80" s="6" t="s">
        <v>66</v>
      </c>
      <c r="D80" s="6" t="s">
        <v>22</v>
      </c>
      <c r="E80" s="6">
        <v>5</v>
      </c>
      <c r="F80" s="20">
        <v>5.6334099999999998E-2</v>
      </c>
      <c r="G80" s="8">
        <v>6.2493699999999999E-2</v>
      </c>
      <c r="H80" s="20">
        <v>30.357865539999999</v>
      </c>
      <c r="I80" s="13">
        <v>0.37501250130000002</v>
      </c>
    </row>
    <row r="81" spans="1:14" x14ac:dyDescent="0.25">
      <c r="A81">
        <v>78</v>
      </c>
      <c r="B81" s="5"/>
      <c r="C81" s="5" t="s">
        <v>67</v>
      </c>
      <c r="D81" s="5" t="s">
        <v>22</v>
      </c>
      <c r="E81" s="5">
        <v>8</v>
      </c>
      <c r="F81" s="20">
        <v>6.5919699999999999E-3</v>
      </c>
      <c r="G81" s="13">
        <v>1.2696000000000001E-2</v>
      </c>
      <c r="H81" s="20">
        <v>30.357865539999999</v>
      </c>
      <c r="I81" s="12">
        <v>0.72875000000000001</v>
      </c>
      <c r="K81" t="s">
        <v>68</v>
      </c>
    </row>
    <row r="82" spans="1:14" x14ac:dyDescent="0.25">
      <c r="A82">
        <v>79</v>
      </c>
      <c r="B82" s="6"/>
      <c r="C82" s="6" t="s">
        <v>69</v>
      </c>
      <c r="D82" s="6" t="s">
        <v>22</v>
      </c>
      <c r="E82" s="6">
        <v>6</v>
      </c>
      <c r="F82" s="20">
        <v>3.0287700000000001E-4</v>
      </c>
      <c r="G82" s="13">
        <v>3.0127000000000001E-2</v>
      </c>
      <c r="H82" s="20">
        <v>30.357865539999999</v>
      </c>
      <c r="I82" s="13">
        <v>0.5234375</v>
      </c>
    </row>
    <row r="83" spans="1:14" x14ac:dyDescent="0.25">
      <c r="A83">
        <v>80</v>
      </c>
      <c r="B83" s="5"/>
      <c r="C83" s="5" t="s">
        <v>70</v>
      </c>
      <c r="D83" s="5" t="s">
        <v>22</v>
      </c>
      <c r="E83" s="5">
        <v>13</v>
      </c>
      <c r="F83" s="20">
        <v>3.2951299999999998E-3</v>
      </c>
      <c r="G83" s="8">
        <v>5.4660300000000002E-3</v>
      </c>
      <c r="H83" s="20">
        <v>30.357865539999999</v>
      </c>
      <c r="I83" s="13">
        <v>0.88124999999999998</v>
      </c>
    </row>
    <row r="84" spans="1:14" x14ac:dyDescent="0.25">
      <c r="A84">
        <v>81</v>
      </c>
      <c r="B84" s="6"/>
      <c r="C84" s="6"/>
      <c r="D84" s="6"/>
      <c r="E84" s="6"/>
      <c r="F84" s="6"/>
      <c r="G84" s="8"/>
      <c r="H84" s="8"/>
      <c r="I84" s="13"/>
    </row>
    <row r="85" spans="1:14" x14ac:dyDescent="0.25">
      <c r="A85">
        <v>82</v>
      </c>
      <c r="B85" s="5"/>
      <c r="C85" s="5"/>
      <c r="D85" s="5"/>
      <c r="E85" s="5"/>
      <c r="F85" s="5"/>
      <c r="G85" s="8"/>
      <c r="H85" s="8"/>
      <c r="I85" s="13"/>
    </row>
    <row r="86" spans="1:14" x14ac:dyDescent="0.25">
      <c r="A86">
        <v>83</v>
      </c>
      <c r="B86" s="6" t="s">
        <v>33</v>
      </c>
      <c r="C86" s="6" t="s">
        <v>60</v>
      </c>
      <c r="D86" s="6" t="s">
        <v>22</v>
      </c>
      <c r="E86" s="6">
        <v>9</v>
      </c>
      <c r="F86" s="20">
        <v>7.6525100000000004E-3</v>
      </c>
      <c r="G86" s="13">
        <v>1.53099E-2</v>
      </c>
      <c r="H86" s="20">
        <v>0.56655802879999995</v>
      </c>
      <c r="I86" s="12">
        <v>0.19921875</v>
      </c>
      <c r="N86" t="s">
        <v>71</v>
      </c>
    </row>
    <row r="87" spans="1:14" x14ac:dyDescent="0.25">
      <c r="A87">
        <v>84</v>
      </c>
      <c r="B87" s="5"/>
      <c r="C87" s="5" t="s">
        <v>61</v>
      </c>
      <c r="D87" s="5" t="s">
        <v>22</v>
      </c>
      <c r="E87" s="5">
        <v>5</v>
      </c>
      <c r="F87" s="20">
        <v>6.04025E-4</v>
      </c>
      <c r="G87" s="13">
        <v>1.13956E-3</v>
      </c>
      <c r="H87" s="20">
        <v>0.56655802879999995</v>
      </c>
      <c r="I87" s="12">
        <v>0.1479492188</v>
      </c>
    </row>
    <row r="88" spans="1:14" x14ac:dyDescent="0.25">
      <c r="A88">
        <v>85</v>
      </c>
      <c r="B88" s="6"/>
      <c r="C88" s="6" t="s">
        <v>63</v>
      </c>
      <c r="D88" s="6" t="s">
        <v>22</v>
      </c>
      <c r="E88" s="6">
        <v>5</v>
      </c>
      <c r="F88" s="20">
        <v>1.5771100000000001E-3</v>
      </c>
      <c r="G88" s="8">
        <v>2.5086000000000002E-3</v>
      </c>
      <c r="H88" s="20">
        <v>0.56655802879999995</v>
      </c>
      <c r="I88" s="12">
        <v>9.7187499999999996E-2</v>
      </c>
    </row>
    <row r="89" spans="1:14" x14ac:dyDescent="0.25">
      <c r="A89">
        <v>86</v>
      </c>
      <c r="B89" s="5"/>
      <c r="C89" s="5" t="s">
        <v>64</v>
      </c>
      <c r="D89" s="5" t="s">
        <v>22</v>
      </c>
      <c r="E89" s="5">
        <v>11</v>
      </c>
      <c r="F89" s="22">
        <v>6.5304399999999996E-6</v>
      </c>
      <c r="G89" s="9">
        <v>2.0490299999999999E-5</v>
      </c>
      <c r="H89" s="20">
        <v>0.56655802879999995</v>
      </c>
      <c r="I89" s="12">
        <v>0.24062500000000001</v>
      </c>
    </row>
    <row r="90" spans="1:14" x14ac:dyDescent="0.25">
      <c r="A90">
        <v>87</v>
      </c>
      <c r="B90" s="6"/>
      <c r="C90" s="6" t="s">
        <v>65</v>
      </c>
      <c r="D90" s="6" t="s">
        <v>22</v>
      </c>
      <c r="E90" s="6">
        <v>5</v>
      </c>
      <c r="F90" s="20">
        <v>2.3321100000000001E-3</v>
      </c>
      <c r="G90" s="8">
        <v>3.63021E-3</v>
      </c>
      <c r="H90" s="20">
        <v>0.56655802879999995</v>
      </c>
      <c r="I90" s="12">
        <v>9.3781281300000005E-2</v>
      </c>
    </row>
    <row r="91" spans="1:14" x14ac:dyDescent="0.25">
      <c r="A91">
        <v>88</v>
      </c>
      <c r="B91" s="5"/>
      <c r="C91" s="5" t="s">
        <v>66</v>
      </c>
      <c r="D91" s="5" t="s">
        <v>22</v>
      </c>
      <c r="E91" s="5">
        <v>5</v>
      </c>
      <c r="F91" s="20">
        <v>2.33906E-3</v>
      </c>
      <c r="G91" s="13">
        <v>3.6408E-3</v>
      </c>
      <c r="H91" s="20">
        <v>0.56655802879999995</v>
      </c>
      <c r="I91" s="12">
        <v>9.3753125300000004E-2</v>
      </c>
    </row>
    <row r="92" spans="1:14" x14ac:dyDescent="0.25">
      <c r="A92">
        <v>89</v>
      </c>
      <c r="B92" s="6"/>
      <c r="C92" s="6" t="s">
        <v>67</v>
      </c>
      <c r="D92" s="6" t="s">
        <v>22</v>
      </c>
      <c r="E92" s="6">
        <v>8</v>
      </c>
      <c r="F92" s="22">
        <v>1.0848099999999999E-4</v>
      </c>
      <c r="G92" s="8">
        <v>1.9908600000000001E-4</v>
      </c>
      <c r="H92" s="20">
        <v>0.56655802879999995</v>
      </c>
      <c r="I92" s="12">
        <v>0.1821875</v>
      </c>
    </row>
    <row r="93" spans="1:14" x14ac:dyDescent="0.25">
      <c r="A93">
        <v>90</v>
      </c>
      <c r="B93" s="5"/>
      <c r="C93" s="5" t="s">
        <v>69</v>
      </c>
      <c r="D93" s="5" t="s">
        <v>22</v>
      </c>
      <c r="E93" s="5">
        <v>6</v>
      </c>
      <c r="F93" s="22">
        <v>1.19762E-4</v>
      </c>
      <c r="G93" s="8">
        <v>1.7186100000000001E-4</v>
      </c>
      <c r="H93" s="20">
        <v>0.56655802879999995</v>
      </c>
      <c r="I93" s="12">
        <v>0.130859375</v>
      </c>
    </row>
    <row r="94" spans="1:14" x14ac:dyDescent="0.25">
      <c r="A94">
        <v>91</v>
      </c>
      <c r="B94" s="6"/>
      <c r="C94" s="6" t="s">
        <v>70</v>
      </c>
      <c r="D94" s="6" t="s">
        <v>22</v>
      </c>
      <c r="E94" s="6">
        <v>13</v>
      </c>
      <c r="F94" s="22">
        <v>7.11307E-5</v>
      </c>
      <c r="G94" s="9">
        <v>1.5049700000000001E-4</v>
      </c>
      <c r="H94" s="20">
        <v>0.56655802879999995</v>
      </c>
      <c r="I94" s="12">
        <v>0.22031249999999999</v>
      </c>
      <c r="K94">
        <v>7.4074100000000004E-2</v>
      </c>
    </row>
    <row r="97" spans="3:14" x14ac:dyDescent="0.25">
      <c r="G97" t="s">
        <v>72</v>
      </c>
      <c r="I97" t="s">
        <v>73</v>
      </c>
      <c r="N97" t="s">
        <v>74</v>
      </c>
    </row>
    <row r="98" spans="3:14" x14ac:dyDescent="0.25">
      <c r="I98" t="s">
        <v>75</v>
      </c>
    </row>
    <row r="99" spans="3:14" x14ac:dyDescent="0.25">
      <c r="I99" t="s">
        <v>76</v>
      </c>
    </row>
    <row r="100" spans="3:14" x14ac:dyDescent="0.25">
      <c r="C100" t="s">
        <v>77</v>
      </c>
    </row>
    <row r="101" spans="3:14" x14ac:dyDescent="0.25">
      <c r="C101" t="s">
        <v>78</v>
      </c>
    </row>
    <row r="103" spans="3:14" x14ac:dyDescent="0.25">
      <c r="C103" t="s">
        <v>79</v>
      </c>
    </row>
    <row r="105" spans="3:14" x14ac:dyDescent="0.25">
      <c r="C105" t="s">
        <v>80</v>
      </c>
    </row>
    <row r="109" spans="3:14" x14ac:dyDescent="0.25">
      <c r="C109" s="16" t="s">
        <v>81</v>
      </c>
    </row>
    <row r="110" spans="3:14" x14ac:dyDescent="0.25">
      <c r="C110" t="s">
        <v>82</v>
      </c>
    </row>
    <row r="112" spans="3:14" x14ac:dyDescent="0.25">
      <c r="C112" t="s">
        <v>83</v>
      </c>
    </row>
    <row r="114" spans="1:11" x14ac:dyDescent="0.25">
      <c r="C114" t="s">
        <v>84</v>
      </c>
    </row>
    <row r="118" spans="1:11" x14ac:dyDescent="0.25"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K118" t="s">
        <v>85</v>
      </c>
    </row>
    <row r="119" spans="1:11" x14ac:dyDescent="0.25">
      <c r="A119">
        <v>119</v>
      </c>
      <c r="B119" t="s">
        <v>20</v>
      </c>
      <c r="C119" t="s">
        <v>58</v>
      </c>
      <c r="D119" t="s">
        <v>22</v>
      </c>
      <c r="E119">
        <v>5</v>
      </c>
      <c r="F119" s="18">
        <v>3.5214769999999999E-3</v>
      </c>
      <c r="G119" s="10">
        <v>3.90625E-3</v>
      </c>
      <c r="H119" s="18">
        <v>19.599693299999998</v>
      </c>
      <c r="I119" s="10">
        <v>0.46875</v>
      </c>
    </row>
    <row r="120" spans="1:11" x14ac:dyDescent="0.25">
      <c r="A120">
        <v>120</v>
      </c>
      <c r="B120" t="s">
        <v>23</v>
      </c>
      <c r="C120" t="s">
        <v>58</v>
      </c>
      <c r="D120" t="s">
        <v>22</v>
      </c>
      <c r="E120">
        <v>5</v>
      </c>
      <c r="F120" s="18">
        <v>1.07153791E-2</v>
      </c>
      <c r="G120" s="10">
        <v>4.0119500000000002E-2</v>
      </c>
      <c r="H120" s="18">
        <v>0.62972434919999998</v>
      </c>
      <c r="I120" s="11">
        <v>1.953125E-2</v>
      </c>
    </row>
    <row r="121" spans="1:11" x14ac:dyDescent="0.25">
      <c r="A121">
        <v>121</v>
      </c>
      <c r="B121" t="s">
        <v>24</v>
      </c>
      <c r="C121" t="s">
        <v>58</v>
      </c>
      <c r="D121" t="s">
        <v>22</v>
      </c>
      <c r="E121">
        <v>5</v>
      </c>
      <c r="F121" s="21">
        <v>9.2710803040000001E-5</v>
      </c>
      <c r="G121" s="11">
        <v>1.5703599999999999E-4</v>
      </c>
      <c r="H121" s="18">
        <v>0.51997161719999996</v>
      </c>
      <c r="I121" s="11">
        <v>1.953125E-2</v>
      </c>
    </row>
    <row r="122" spans="1:11" x14ac:dyDescent="0.25">
      <c r="A122">
        <v>122</v>
      </c>
      <c r="B122" t="s">
        <v>26</v>
      </c>
      <c r="C122" t="s">
        <v>58</v>
      </c>
      <c r="D122" t="s">
        <v>22</v>
      </c>
      <c r="E122">
        <v>5</v>
      </c>
      <c r="F122" s="18">
        <v>1.4221768999999999E-3</v>
      </c>
      <c r="G122" s="10">
        <v>2.0982599999999998E-3</v>
      </c>
      <c r="H122" s="18">
        <v>7.9770198280000004</v>
      </c>
      <c r="I122" s="10">
        <v>0.26628320309999998</v>
      </c>
    </row>
    <row r="123" spans="1:11" x14ac:dyDescent="0.25">
      <c r="A123">
        <v>123</v>
      </c>
      <c r="B123" t="s">
        <v>27</v>
      </c>
      <c r="C123" t="s">
        <v>58</v>
      </c>
      <c r="D123" t="s">
        <v>22</v>
      </c>
      <c r="E123">
        <v>5</v>
      </c>
      <c r="F123" s="18">
        <v>0.12833431819999999</v>
      </c>
      <c r="G123" s="10">
        <v>0.18201800000000001</v>
      </c>
      <c r="H123" s="18">
        <v>8.3730125619999995</v>
      </c>
      <c r="I123" s="10">
        <v>0.34917773439999999</v>
      </c>
    </row>
    <row r="124" spans="1:11" x14ac:dyDescent="0.25">
      <c r="A124">
        <v>124</v>
      </c>
      <c r="B124" t="s">
        <v>28</v>
      </c>
      <c r="C124" t="s">
        <v>58</v>
      </c>
      <c r="D124" t="s">
        <v>22</v>
      </c>
      <c r="E124">
        <v>5</v>
      </c>
      <c r="F124" s="18">
        <v>4.7919436900000001E-2</v>
      </c>
      <c r="G124" s="10">
        <v>0.10125000000000001</v>
      </c>
      <c r="H124" s="18">
        <v>28.413101109999999</v>
      </c>
      <c r="I124" s="10">
        <v>1.0643144529999999</v>
      </c>
    </row>
    <row r="125" spans="1:11" x14ac:dyDescent="0.25">
      <c r="A125">
        <v>125</v>
      </c>
      <c r="B125" t="s">
        <v>30</v>
      </c>
      <c r="C125" t="s">
        <v>58</v>
      </c>
      <c r="D125" t="s">
        <v>22</v>
      </c>
      <c r="E125">
        <v>5</v>
      </c>
      <c r="F125" s="18">
        <v>3.2761853000000001E-3</v>
      </c>
      <c r="G125" s="10">
        <v>4.99725E-3</v>
      </c>
      <c r="H125" s="18">
        <v>19.412586099999999</v>
      </c>
      <c r="I125" s="10">
        <v>0.94641601559999999</v>
      </c>
    </row>
    <row r="126" spans="1:11" x14ac:dyDescent="0.25">
      <c r="A126">
        <v>126</v>
      </c>
      <c r="B126" t="s">
        <v>31</v>
      </c>
      <c r="C126" t="s">
        <v>58</v>
      </c>
      <c r="D126" t="s">
        <v>22</v>
      </c>
      <c r="E126">
        <v>5</v>
      </c>
      <c r="F126" s="21">
        <v>8.0562045649999997E-4</v>
      </c>
      <c r="G126" s="10">
        <v>1.3414500000000001E-3</v>
      </c>
      <c r="H126" s="18">
        <v>4.6592877680000004</v>
      </c>
      <c r="I126" s="10">
        <v>0.234375</v>
      </c>
    </row>
    <row r="127" spans="1:11" x14ac:dyDescent="0.25">
      <c r="A127">
        <v>127</v>
      </c>
      <c r="B127" t="s">
        <v>33</v>
      </c>
      <c r="C127" t="s">
        <v>58</v>
      </c>
      <c r="D127" t="s">
        <v>22</v>
      </c>
      <c r="E127">
        <v>5</v>
      </c>
      <c r="F127" s="21">
        <v>1.98022878E-4</v>
      </c>
      <c r="G127" s="11">
        <v>4.2371200000000003E-4</v>
      </c>
      <c r="H127" s="18">
        <v>1.3092607249999999</v>
      </c>
      <c r="I127" s="11">
        <v>0.1171875</v>
      </c>
    </row>
    <row r="130" spans="1:12" x14ac:dyDescent="0.25">
      <c r="B130" s="4" t="s">
        <v>12</v>
      </c>
      <c r="C130" s="4" t="s">
        <v>13</v>
      </c>
      <c r="D130" s="4" t="s">
        <v>14</v>
      </c>
      <c r="E130" s="4" t="s">
        <v>15</v>
      </c>
      <c r="F130" s="4" t="s">
        <v>16</v>
      </c>
      <c r="G130" s="4" t="s">
        <v>17</v>
      </c>
      <c r="H130" s="4" t="s">
        <v>18</v>
      </c>
      <c r="I130" s="4" t="s">
        <v>19</v>
      </c>
      <c r="L130" t="s">
        <v>86</v>
      </c>
    </row>
    <row r="131" spans="1:12" x14ac:dyDescent="0.25">
      <c r="A131">
        <v>131</v>
      </c>
      <c r="B131" s="5" t="s">
        <v>20</v>
      </c>
      <c r="C131" s="5" t="s">
        <v>60</v>
      </c>
      <c r="D131" s="5" t="s">
        <v>22</v>
      </c>
      <c r="E131" s="5">
        <v>9</v>
      </c>
      <c r="F131" s="13">
        <v>2.21595E-4</v>
      </c>
      <c r="G131" s="13">
        <v>2.4914099999999998E-4</v>
      </c>
      <c r="H131" s="13">
        <v>56.643113649999997</v>
      </c>
      <c r="I131" s="12">
        <v>0.796875</v>
      </c>
    </row>
    <row r="132" spans="1:12" x14ac:dyDescent="0.25">
      <c r="A132">
        <v>132</v>
      </c>
      <c r="B132" s="6"/>
      <c r="C132" s="6" t="s">
        <v>61</v>
      </c>
      <c r="D132" s="6" t="s">
        <v>22</v>
      </c>
      <c r="E132" s="6">
        <v>5</v>
      </c>
      <c r="F132" s="13">
        <v>8.3227700000000002E-3</v>
      </c>
      <c r="G132" s="12">
        <v>9.5392299999999992E-3</v>
      </c>
      <c r="H132" s="13">
        <v>31.240073649999999</v>
      </c>
      <c r="I132" s="13">
        <v>0.591796875</v>
      </c>
    </row>
    <row r="133" spans="1:12" x14ac:dyDescent="0.25">
      <c r="A133">
        <v>133</v>
      </c>
      <c r="B133" s="5"/>
      <c r="C133" s="5" t="s">
        <v>63</v>
      </c>
      <c r="D133" s="5" t="s">
        <v>22</v>
      </c>
      <c r="E133" s="5">
        <v>5</v>
      </c>
      <c r="F133" s="13">
        <v>3.5069999999999997E-2</v>
      </c>
      <c r="G133" s="12">
        <v>4.1006300000000002E-2</v>
      </c>
      <c r="H133" s="13">
        <v>13.480547100000001</v>
      </c>
      <c r="I133" s="13">
        <v>0.38874999999999998</v>
      </c>
    </row>
    <row r="134" spans="1:12" x14ac:dyDescent="0.25">
      <c r="A134">
        <v>134</v>
      </c>
      <c r="B134" s="6"/>
      <c r="C134" s="6" t="s">
        <v>64</v>
      </c>
      <c r="D134" s="6" t="s">
        <v>22</v>
      </c>
      <c r="E134" s="6">
        <v>11</v>
      </c>
      <c r="F134" s="12">
        <v>9.0149799999999995E-5</v>
      </c>
      <c r="G134" s="13">
        <v>1E-4</v>
      </c>
      <c r="H134" s="13">
        <v>82.635791359999999</v>
      </c>
      <c r="I134" s="12">
        <v>0.96250000000000002</v>
      </c>
    </row>
    <row r="135" spans="1:12" x14ac:dyDescent="0.25">
      <c r="A135">
        <v>135</v>
      </c>
      <c r="B135" s="5"/>
      <c r="C135" s="5" t="s">
        <v>65</v>
      </c>
      <c r="D135" s="5" t="s">
        <v>22</v>
      </c>
      <c r="E135" s="5">
        <v>5</v>
      </c>
      <c r="F135" s="13">
        <v>5.60902E-2</v>
      </c>
      <c r="G135" s="13">
        <v>6.2250100000000003E-2</v>
      </c>
      <c r="H135" s="13">
        <v>12.55217601</v>
      </c>
      <c r="I135" s="13">
        <v>0.375125125</v>
      </c>
      <c r="K135" t="s">
        <v>87</v>
      </c>
    </row>
    <row r="136" spans="1:12" x14ac:dyDescent="0.25">
      <c r="A136">
        <v>136</v>
      </c>
      <c r="B136" s="6"/>
      <c r="C136" s="6" t="s">
        <v>66</v>
      </c>
      <c r="D136" s="6" t="s">
        <v>22</v>
      </c>
      <c r="E136" s="6">
        <v>5</v>
      </c>
      <c r="F136" s="13">
        <v>1.5858700000000001E-3</v>
      </c>
      <c r="G136" s="13">
        <v>6.2475000000000003E-2</v>
      </c>
      <c r="H136" s="13">
        <v>12.54464007</v>
      </c>
      <c r="I136" s="13">
        <v>0.37501250130000002</v>
      </c>
      <c r="L136" t="s">
        <v>88</v>
      </c>
    </row>
    <row r="137" spans="1:12" x14ac:dyDescent="0.25">
      <c r="A137">
        <v>137</v>
      </c>
      <c r="B137" s="5"/>
      <c r="C137" s="5" t="s">
        <v>67</v>
      </c>
      <c r="D137" s="5" t="s">
        <v>22</v>
      </c>
      <c r="E137" s="5">
        <v>8</v>
      </c>
      <c r="F137" s="13">
        <v>4.00775E-3</v>
      </c>
      <c r="G137" s="13">
        <v>1E-4</v>
      </c>
      <c r="H137" s="13">
        <v>47.372232230000002</v>
      </c>
      <c r="I137" s="12">
        <v>0.72875000000000001</v>
      </c>
    </row>
    <row r="138" spans="1:12" x14ac:dyDescent="0.25">
      <c r="A138">
        <v>138</v>
      </c>
      <c r="B138" s="6"/>
      <c r="C138" s="6" t="s">
        <v>69</v>
      </c>
      <c r="D138" s="6" t="s">
        <v>22</v>
      </c>
      <c r="E138" s="6">
        <v>6</v>
      </c>
      <c r="F138" s="13">
        <v>1.1058999999999999E-2</v>
      </c>
      <c r="G138" s="13">
        <v>1.9775399999999999E-2</v>
      </c>
      <c r="H138" s="13">
        <v>24.439728680000002</v>
      </c>
      <c r="I138" s="13">
        <v>0.5234375</v>
      </c>
      <c r="L138">
        <v>0.05</v>
      </c>
    </row>
    <row r="139" spans="1:12" x14ac:dyDescent="0.25">
      <c r="A139">
        <v>139</v>
      </c>
      <c r="B139" s="5"/>
      <c r="C139" s="5" t="s">
        <v>70</v>
      </c>
      <c r="D139" s="5" t="s">
        <v>22</v>
      </c>
      <c r="E139" s="5">
        <v>13</v>
      </c>
      <c r="F139" s="13">
        <v>2.4900600000000001E-3</v>
      </c>
      <c r="G139" s="13">
        <v>3.90625E-3</v>
      </c>
      <c r="H139" s="13">
        <v>69.273156009999994</v>
      </c>
      <c r="I139" s="13">
        <v>0.63124999999999998</v>
      </c>
      <c r="L139">
        <v>0.04</v>
      </c>
    </row>
    <row r="140" spans="1:12" x14ac:dyDescent="0.25">
      <c r="B140" s="6"/>
      <c r="C140" s="6"/>
      <c r="D140" s="6"/>
      <c r="E140" s="6"/>
      <c r="F140" s="6"/>
      <c r="G140" s="6"/>
      <c r="H140" s="6"/>
      <c r="I140" s="6"/>
      <c r="L140">
        <v>0.08</v>
      </c>
    </row>
    <row r="141" spans="1:12" x14ac:dyDescent="0.25">
      <c r="B141" s="5"/>
      <c r="C141" s="5" t="s">
        <v>89</v>
      </c>
      <c r="D141" s="5"/>
      <c r="E141" s="5"/>
      <c r="F141" s="6"/>
      <c r="G141" s="6"/>
      <c r="H141" s="6"/>
      <c r="I141" s="6"/>
    </row>
    <row r="142" spans="1:12" x14ac:dyDescent="0.25">
      <c r="A142">
        <v>142</v>
      </c>
      <c r="B142" s="6" t="s">
        <v>20</v>
      </c>
      <c r="C142" s="6" t="s">
        <v>90</v>
      </c>
      <c r="D142" s="6" t="s">
        <v>22</v>
      </c>
      <c r="E142" s="6">
        <v>9</v>
      </c>
      <c r="F142" s="13">
        <v>1.7692700000000001E-3</v>
      </c>
      <c r="G142" s="13">
        <v>3.9060000000000002E-3</v>
      </c>
      <c r="H142" s="13">
        <v>71.995640649999999</v>
      </c>
      <c r="I142" s="12">
        <v>0.89839999999999998</v>
      </c>
    </row>
    <row r="143" spans="1:12" x14ac:dyDescent="0.25">
      <c r="A143">
        <v>143</v>
      </c>
      <c r="B143" s="5"/>
      <c r="C143" s="5" t="s">
        <v>91</v>
      </c>
      <c r="D143" s="5" t="s">
        <v>22</v>
      </c>
      <c r="E143" s="5">
        <v>5</v>
      </c>
      <c r="F143" s="13">
        <v>0.10886</v>
      </c>
      <c r="G143" s="13">
        <v>0.15259300000000001</v>
      </c>
      <c r="H143" s="13">
        <v>47.769183179999999</v>
      </c>
      <c r="I143" s="12">
        <v>0.73179687500000001</v>
      </c>
    </row>
    <row r="144" spans="1:12" x14ac:dyDescent="0.25">
      <c r="A144">
        <v>144</v>
      </c>
      <c r="B144" s="6"/>
      <c r="C144" s="6" t="s">
        <v>92</v>
      </c>
      <c r="D144" s="6" t="s">
        <v>22</v>
      </c>
      <c r="E144" s="6">
        <v>5</v>
      </c>
      <c r="F144" s="13">
        <v>2.6058399999999999E-2</v>
      </c>
      <c r="G144" s="13">
        <v>4.1006300000000002E-2</v>
      </c>
      <c r="H144" s="13">
        <v>10.08535756</v>
      </c>
      <c r="I144" s="12">
        <v>0.33624999999999999</v>
      </c>
    </row>
    <row r="145" spans="1:9" x14ac:dyDescent="0.25">
      <c r="A145">
        <v>145</v>
      </c>
      <c r="B145" s="5"/>
      <c r="C145" s="5" t="s">
        <v>93</v>
      </c>
      <c r="D145" s="5" t="s">
        <v>22</v>
      </c>
      <c r="E145" s="5">
        <v>11</v>
      </c>
      <c r="F145" s="12">
        <v>6.4945599999999997E-4</v>
      </c>
      <c r="G145" s="12">
        <v>1E-4</v>
      </c>
      <c r="H145" s="13">
        <v>104.16378090000001</v>
      </c>
      <c r="I145" s="12">
        <v>1.0806249999999999</v>
      </c>
    </row>
    <row r="146" spans="1:9" x14ac:dyDescent="0.25">
      <c r="A146">
        <v>146</v>
      </c>
      <c r="B146" s="6"/>
      <c r="C146" s="6" t="s">
        <v>94</v>
      </c>
      <c r="D146" s="6" t="s">
        <v>22</v>
      </c>
      <c r="E146" s="6">
        <v>5</v>
      </c>
      <c r="F146" s="13">
        <v>1.5730500000000001E-3</v>
      </c>
      <c r="G146" s="13">
        <v>6.2250100000000003E-2</v>
      </c>
      <c r="H146" s="13">
        <v>8.7182935920000002</v>
      </c>
      <c r="I146" s="12">
        <v>0.31263125060000002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43E1-3C1C-4DAA-A1C1-09D0C4D30778}">
  <dimension ref="B1:I129"/>
  <sheetViews>
    <sheetView tabSelected="1" topLeftCell="A10" workbookViewId="0">
      <selection activeCell="G49" sqref="G49"/>
    </sheetView>
  </sheetViews>
  <sheetFormatPr defaultRowHeight="15" x14ac:dyDescent="0.25"/>
  <cols>
    <col min="2" max="2" width="18.7109375" customWidth="1"/>
    <col min="3" max="3" width="43.28515625" customWidth="1"/>
    <col min="4" max="4" width="25.140625" customWidth="1"/>
    <col min="5" max="5" width="27" customWidth="1"/>
    <col min="6" max="6" width="31.85546875" customWidth="1"/>
    <col min="7" max="7" width="26.85546875" customWidth="1"/>
    <col min="8" max="8" width="34.28515625" customWidth="1"/>
    <col min="9" max="9" width="30.28515625" customWidth="1"/>
    <col min="10" max="10" width="27.42578125" customWidth="1"/>
    <col min="11" max="11" width="27.5703125" customWidth="1"/>
  </cols>
  <sheetData>
    <row r="1" spans="2:9" x14ac:dyDescent="0.25">
      <c r="B1" t="s">
        <v>95</v>
      </c>
    </row>
    <row r="2" spans="2:9" x14ac:dyDescent="0.25">
      <c r="B2" t="s">
        <v>12</v>
      </c>
      <c r="C2" t="s">
        <v>13</v>
      </c>
      <c r="D2" t="s">
        <v>96</v>
      </c>
      <c r="E2" t="s">
        <v>97</v>
      </c>
      <c r="F2" t="s">
        <v>16</v>
      </c>
      <c r="G2" t="s">
        <v>17</v>
      </c>
      <c r="H2" t="s">
        <v>98</v>
      </c>
      <c r="I2" t="s">
        <v>99</v>
      </c>
    </row>
    <row r="3" spans="2:9" x14ac:dyDescent="0.25">
      <c r="B3" t="s">
        <v>24</v>
      </c>
      <c r="C3" t="s">
        <v>58</v>
      </c>
      <c r="D3">
        <v>1</v>
      </c>
      <c r="E3">
        <v>0.90044400000000002</v>
      </c>
      <c r="F3" s="21">
        <v>1.0316073869999999E-4</v>
      </c>
      <c r="G3" s="11">
        <v>1.68202E-4</v>
      </c>
      <c r="H3">
        <f>F3/E3</f>
        <v>1.1456652351506589E-4</v>
      </c>
      <c r="I3">
        <f>G3/D3</f>
        <v>1.68202E-4</v>
      </c>
    </row>
    <row r="4" spans="2:9" x14ac:dyDescent="0.25">
      <c r="B4" t="s">
        <v>33</v>
      </c>
      <c r="C4" t="s">
        <v>58</v>
      </c>
      <c r="D4">
        <v>1.0986100000000001</v>
      </c>
      <c r="E4">
        <v>1.01448</v>
      </c>
      <c r="F4" s="21">
        <v>2.572419925E-4</v>
      </c>
      <c r="G4" s="11">
        <v>5.46376E-4</v>
      </c>
      <c r="H4">
        <f>F4/E4</f>
        <v>2.5357029463370394E-4</v>
      </c>
      <c r="I4">
        <f>G4/D4</f>
        <v>4.9733390375110366E-4</v>
      </c>
    </row>
    <row r="5" spans="2:9" x14ac:dyDescent="0.25">
      <c r="B5" t="s">
        <v>20</v>
      </c>
      <c r="C5" t="s">
        <v>58</v>
      </c>
      <c r="D5">
        <v>16</v>
      </c>
      <c r="E5">
        <v>7.5424699999999998</v>
      </c>
      <c r="F5" s="18">
        <v>3.5214769999999999E-3</v>
      </c>
      <c r="G5" s="10">
        <v>3.90625E-3</v>
      </c>
      <c r="H5">
        <f>F5/E5</f>
        <v>4.6688644436106472E-4</v>
      </c>
      <c r="I5">
        <f>G5/D5</f>
        <v>2.44140625E-4</v>
      </c>
    </row>
    <row r="6" spans="2:9" x14ac:dyDescent="0.25">
      <c r="B6" t="s">
        <v>26</v>
      </c>
      <c r="C6" t="s">
        <v>58</v>
      </c>
      <c r="D6">
        <v>3.6371899999999999</v>
      </c>
      <c r="E6">
        <v>2.4237799999999998</v>
      </c>
      <c r="F6" s="18">
        <v>1.8509551000000001E-3</v>
      </c>
      <c r="G6" s="10">
        <v>2.79474E-3</v>
      </c>
      <c r="H6">
        <f>F6/E6</f>
        <v>7.6366464778156444E-4</v>
      </c>
      <c r="I6">
        <f>G6/D6</f>
        <v>7.6837888589817969E-4</v>
      </c>
    </row>
    <row r="7" spans="2:9" x14ac:dyDescent="0.25">
      <c r="B7" t="s">
        <v>28</v>
      </c>
      <c r="C7" t="s">
        <v>58</v>
      </c>
      <c r="D7">
        <v>7.2743799999999998</v>
      </c>
      <c r="E7">
        <v>4.1083800000000004</v>
      </c>
      <c r="F7" s="18">
        <v>5.9611726999999996E-3</v>
      </c>
      <c r="G7" s="10">
        <v>9.4793299999999994E-3</v>
      </c>
      <c r="H7">
        <f>F7/E7</f>
        <v>1.4509789016595347E-3</v>
      </c>
      <c r="I7">
        <f>G7/D7</f>
        <v>1.3031117428564359E-3</v>
      </c>
    </row>
    <row r="8" spans="2:9" x14ac:dyDescent="0.25">
      <c r="B8" t="s">
        <v>31</v>
      </c>
      <c r="C8" t="s">
        <v>58</v>
      </c>
      <c r="D8">
        <v>1</v>
      </c>
      <c r="E8">
        <v>0.79159199999999996</v>
      </c>
      <c r="F8" s="18">
        <v>1.5611766E-3</v>
      </c>
      <c r="G8" s="10">
        <v>2.33593E-3</v>
      </c>
      <c r="H8">
        <f>F8/E8</f>
        <v>1.9721985568323078E-3</v>
      </c>
      <c r="I8">
        <f>G8/D8</f>
        <v>2.33593E-3</v>
      </c>
    </row>
    <row r="9" spans="2:9" x14ac:dyDescent="0.25">
      <c r="B9" t="s">
        <v>100</v>
      </c>
      <c r="C9" t="s">
        <v>58</v>
      </c>
      <c r="D9">
        <v>14.5488</v>
      </c>
      <c r="E9">
        <v>7.2279299999999997</v>
      </c>
      <c r="F9" s="21">
        <v>1.9810000000000001E-2</v>
      </c>
      <c r="G9" s="11">
        <v>4.0585499999999997E-2</v>
      </c>
      <c r="H9">
        <f>F9/E9</f>
        <v>2.7407570355551317E-3</v>
      </c>
      <c r="I9">
        <f>G9/D9</f>
        <v>2.7896115143516988E-3</v>
      </c>
    </row>
    <row r="10" spans="2:9" x14ac:dyDescent="0.25">
      <c r="B10" t="s">
        <v>30</v>
      </c>
      <c r="C10" t="s">
        <v>58</v>
      </c>
      <c r="D10">
        <v>3.32917</v>
      </c>
      <c r="E10">
        <v>1.1861299999999999</v>
      </c>
      <c r="F10" s="18">
        <v>5.0319286E-3</v>
      </c>
      <c r="G10" s="10">
        <v>6.6974900000000004E-3</v>
      </c>
      <c r="H10">
        <f>F10/E10</f>
        <v>4.2423078414676307E-3</v>
      </c>
      <c r="I10">
        <f>G10/D10</f>
        <v>2.0117596878501251E-3</v>
      </c>
    </row>
    <row r="11" spans="2:9" x14ac:dyDescent="0.25">
      <c r="B11" s="24" t="s">
        <v>101</v>
      </c>
      <c r="C11" t="s">
        <v>58</v>
      </c>
      <c r="D11">
        <v>6.6583500000000004</v>
      </c>
      <c r="E11">
        <v>2.15544</v>
      </c>
      <c r="F11" s="21">
        <v>1.36382E-2</v>
      </c>
      <c r="G11" s="11">
        <v>2.69258E-2</v>
      </c>
      <c r="H11">
        <f>F11/E11</f>
        <v>6.3273391975652302E-3</v>
      </c>
      <c r="I11">
        <f>G11/D11</f>
        <v>4.0439147836926559E-3</v>
      </c>
    </row>
    <row r="12" spans="2:9" x14ac:dyDescent="0.25">
      <c r="B12" t="s">
        <v>23</v>
      </c>
      <c r="C12" t="s">
        <v>58</v>
      </c>
      <c r="D12">
        <v>1</v>
      </c>
      <c r="E12">
        <v>1.0905</v>
      </c>
      <c r="F12" s="18">
        <v>1.08333427E-2</v>
      </c>
      <c r="G12" s="10">
        <v>1.6764899999999999E-4</v>
      </c>
      <c r="H12">
        <f>F12/E12</f>
        <v>9.9342895002292528E-3</v>
      </c>
      <c r="I12">
        <f>G12/D12</f>
        <v>1.6764899999999999E-4</v>
      </c>
    </row>
    <row r="13" spans="2:9" x14ac:dyDescent="0.25">
      <c r="B13" t="s">
        <v>27</v>
      </c>
      <c r="C13" t="s">
        <v>58</v>
      </c>
      <c r="D13">
        <v>1.66459</v>
      </c>
      <c r="E13">
        <v>0.72476700000000005</v>
      </c>
      <c r="F13" s="18">
        <v>3.3876803300000001E-2</v>
      </c>
      <c r="G13" s="10">
        <v>0.124988</v>
      </c>
      <c r="H13">
        <f>F13/E13</f>
        <v>4.67416470396693E-2</v>
      </c>
      <c r="I13">
        <f>G13/D13</f>
        <v>7.5086357601571563E-2</v>
      </c>
    </row>
    <row r="14" spans="2:9" x14ac:dyDescent="0.25">
      <c r="B14" s="24"/>
      <c r="F14" s="25"/>
      <c r="G14" s="25"/>
    </row>
    <row r="15" spans="2:9" x14ac:dyDescent="0.25">
      <c r="B15" s="26" t="s">
        <v>20</v>
      </c>
      <c r="C15" t="s">
        <v>102</v>
      </c>
      <c r="D15">
        <v>16</v>
      </c>
      <c r="E15">
        <v>7.5424699999999998</v>
      </c>
      <c r="F15" s="25">
        <v>0.75301499999999999</v>
      </c>
      <c r="G15" s="25">
        <v>0.85230899999999998</v>
      </c>
      <c r="H15" s="25">
        <f t="shared" ref="H15:H25" si="0">F15/E15</f>
        <v>9.9836658283029303E-2</v>
      </c>
      <c r="I15" s="25">
        <f t="shared" ref="I15:I25" si="1">G15/D15</f>
        <v>5.3269312499999999E-2</v>
      </c>
    </row>
    <row r="16" spans="2:9" x14ac:dyDescent="0.25">
      <c r="B16" s="26" t="s">
        <v>33</v>
      </c>
      <c r="C16" t="s">
        <v>102</v>
      </c>
      <c r="D16">
        <v>1.0986100000000001</v>
      </c>
      <c r="E16">
        <v>1.01448</v>
      </c>
      <c r="F16" s="25">
        <v>1.5449299999999999E-2</v>
      </c>
      <c r="G16" s="25">
        <v>1.7449300000000001E-2</v>
      </c>
      <c r="H16" s="25">
        <f>F16/E16</f>
        <v>1.5228787161895747E-2</v>
      </c>
      <c r="I16" s="25">
        <f>G16/D16</f>
        <v>1.5883070425355677E-2</v>
      </c>
    </row>
    <row r="17" spans="2:9" x14ac:dyDescent="0.25">
      <c r="B17" s="26" t="s">
        <v>24</v>
      </c>
      <c r="C17" t="s">
        <v>102</v>
      </c>
      <c r="D17">
        <v>1</v>
      </c>
      <c r="E17">
        <v>0.90044400000000002</v>
      </c>
      <c r="F17" s="25">
        <v>1.4972299999999999E-2</v>
      </c>
      <c r="G17" s="25">
        <v>1.71375E-2</v>
      </c>
      <c r="H17" s="25">
        <f>F17/E17</f>
        <v>1.6627685897179612E-2</v>
      </c>
      <c r="I17" s="25">
        <f>G17/D17</f>
        <v>1.71375E-2</v>
      </c>
    </row>
    <row r="18" spans="2:9" x14ac:dyDescent="0.25">
      <c r="B18" t="s">
        <v>23</v>
      </c>
      <c r="C18" t="s">
        <v>102</v>
      </c>
      <c r="D18">
        <v>1</v>
      </c>
      <c r="E18">
        <v>1.0905</v>
      </c>
      <c r="F18" s="25">
        <v>2.5379200000000001E-2</v>
      </c>
      <c r="G18" s="25">
        <v>2.88343E-2</v>
      </c>
      <c r="H18" s="25">
        <f>F18/E18</f>
        <v>2.3272994039431453E-2</v>
      </c>
      <c r="I18" s="25">
        <f>G18/D18</f>
        <v>2.88343E-2</v>
      </c>
    </row>
    <row r="19" spans="2:9" x14ac:dyDescent="0.25">
      <c r="B19" s="26" t="s">
        <v>27</v>
      </c>
      <c r="C19" t="s">
        <v>102</v>
      </c>
      <c r="D19">
        <v>1.66459</v>
      </c>
      <c r="E19">
        <v>0.72476700000000005</v>
      </c>
      <c r="F19" s="25">
        <v>6.8497199999999994E-2</v>
      </c>
      <c r="G19" s="25">
        <v>8.8222499999999995E-2</v>
      </c>
      <c r="H19" s="25">
        <f>F19/E19</f>
        <v>9.4509269875697965E-2</v>
      </c>
      <c r="I19" s="25">
        <f>G19/D19</f>
        <v>5.2999537423629839E-2</v>
      </c>
    </row>
    <row r="20" spans="2:9" x14ac:dyDescent="0.25">
      <c r="B20" t="s">
        <v>100</v>
      </c>
      <c r="C20" t="s">
        <v>102</v>
      </c>
      <c r="D20">
        <v>14.5488</v>
      </c>
      <c r="E20">
        <v>7.2279299999999997</v>
      </c>
      <c r="F20" s="25">
        <v>0.86944900000000003</v>
      </c>
      <c r="G20" s="25">
        <v>1.0641099999999999</v>
      </c>
      <c r="H20" s="25">
        <f>F20/E20</f>
        <v>0.12029017989936262</v>
      </c>
      <c r="I20" s="25">
        <f>G20/D20</f>
        <v>7.3140740129770149E-2</v>
      </c>
    </row>
    <row r="21" spans="2:9" x14ac:dyDescent="0.25">
      <c r="B21" t="s">
        <v>26</v>
      </c>
      <c r="C21" t="s">
        <v>102</v>
      </c>
      <c r="D21">
        <v>3.6371899999999999</v>
      </c>
      <c r="E21">
        <v>2.4237799999999998</v>
      </c>
      <c r="F21" s="25">
        <v>0.367392</v>
      </c>
      <c r="G21" s="25">
        <v>0.418711</v>
      </c>
      <c r="H21" s="25">
        <f>F21/E21</f>
        <v>0.15157811352515493</v>
      </c>
      <c r="I21" s="25">
        <f>G21/D21</f>
        <v>0.11511936412450272</v>
      </c>
    </row>
    <row r="22" spans="2:9" x14ac:dyDescent="0.25">
      <c r="B22" t="s">
        <v>31</v>
      </c>
      <c r="C22" t="s">
        <v>102</v>
      </c>
      <c r="D22">
        <v>1</v>
      </c>
      <c r="E22">
        <v>0.79159199999999996</v>
      </c>
      <c r="F22" s="25">
        <v>0.12595799999999999</v>
      </c>
      <c r="G22" s="25">
        <v>0.14686099999999999</v>
      </c>
      <c r="H22" s="25">
        <f>F22/E22</f>
        <v>0.15911984961950096</v>
      </c>
      <c r="I22" s="25">
        <f>G22/D22</f>
        <v>0.14686099999999999</v>
      </c>
    </row>
    <row r="23" spans="2:9" x14ac:dyDescent="0.25">
      <c r="B23" t="s">
        <v>28</v>
      </c>
      <c r="C23" t="s">
        <v>102</v>
      </c>
      <c r="D23">
        <v>7.2743799999999998</v>
      </c>
      <c r="E23">
        <v>4.1083800000000004</v>
      </c>
      <c r="F23" s="25">
        <v>0.75577799999999995</v>
      </c>
      <c r="G23" s="25">
        <v>0.87223799999999996</v>
      </c>
      <c r="H23" s="25">
        <f>F23/E23</f>
        <v>0.18396010106173233</v>
      </c>
      <c r="I23" s="25">
        <f>G23/D23</f>
        <v>0.11990547648046981</v>
      </c>
    </row>
    <row r="24" spans="2:9" x14ac:dyDescent="0.25">
      <c r="B24" s="26" t="s">
        <v>30</v>
      </c>
      <c r="C24" t="s">
        <v>102</v>
      </c>
      <c r="D24">
        <v>3.32917</v>
      </c>
      <c r="E24">
        <v>1.1861299999999999</v>
      </c>
      <c r="F24" s="25">
        <v>0.62639800000000001</v>
      </c>
      <c r="G24" s="25">
        <v>0.72470299999999999</v>
      </c>
      <c r="H24" s="25">
        <f>F24/E24</f>
        <v>0.52810231593501555</v>
      </c>
      <c r="I24" s="25">
        <f>G24/D24</f>
        <v>0.21768278579946354</v>
      </c>
    </row>
    <row r="25" spans="2:9" x14ac:dyDescent="0.25">
      <c r="B25" s="27" t="s">
        <v>101</v>
      </c>
      <c r="C25" t="s">
        <v>102</v>
      </c>
      <c r="D25">
        <v>6.6583500000000004</v>
      </c>
      <c r="E25">
        <v>2.15544</v>
      </c>
      <c r="F25" s="25">
        <v>2.4286300000000001</v>
      </c>
      <c r="G25" s="25">
        <v>2.7848000000000002</v>
      </c>
      <c r="H25" s="25">
        <f>F25/E25</f>
        <v>1.1267444234123891</v>
      </c>
      <c r="I25" s="25">
        <f>G25/D25</f>
        <v>0.41824175659134771</v>
      </c>
    </row>
    <row r="26" spans="2:9" x14ac:dyDescent="0.25">
      <c r="B26" s="24"/>
      <c r="F26" s="25"/>
      <c r="G26" s="25"/>
    </row>
    <row r="31" spans="2:9" x14ac:dyDescent="0.25">
      <c r="B31" t="s">
        <v>103</v>
      </c>
    </row>
    <row r="32" spans="2:9" x14ac:dyDescent="0.25">
      <c r="B32" t="s">
        <v>12</v>
      </c>
      <c r="C32" t="s">
        <v>13</v>
      </c>
      <c r="D32" t="s">
        <v>96</v>
      </c>
      <c r="E32" t="s">
        <v>97</v>
      </c>
      <c r="F32" t="s">
        <v>16</v>
      </c>
      <c r="G32" t="s">
        <v>17</v>
      </c>
      <c r="H32" t="s">
        <v>98</v>
      </c>
      <c r="I32" t="s">
        <v>99</v>
      </c>
    </row>
    <row r="33" spans="2:9" x14ac:dyDescent="0.25">
      <c r="B33" t="s">
        <v>24</v>
      </c>
      <c r="C33" t="s">
        <v>58</v>
      </c>
      <c r="D33">
        <v>1</v>
      </c>
      <c r="E33">
        <v>0.90044400000000002</v>
      </c>
      <c r="F33" s="21">
        <v>9.2710803040000001E-5</v>
      </c>
      <c r="G33" s="11">
        <v>1.5703599999999999E-4</v>
      </c>
      <c r="H33">
        <f>F33/E33</f>
        <v>1.0296120918124836E-4</v>
      </c>
      <c r="I33">
        <f>G33/D33</f>
        <v>1.5703599999999999E-4</v>
      </c>
    </row>
    <row r="34" spans="2:9" x14ac:dyDescent="0.25">
      <c r="B34" t="s">
        <v>33</v>
      </c>
      <c r="C34" t="s">
        <v>58</v>
      </c>
      <c r="D34">
        <v>1.0986100000000001</v>
      </c>
      <c r="E34">
        <v>1.01448</v>
      </c>
      <c r="F34" s="21">
        <v>1.98022878E-4</v>
      </c>
      <c r="G34" s="11">
        <v>4.2371200000000003E-4</v>
      </c>
      <c r="H34">
        <f>F34/E34</f>
        <v>1.9519643364088003E-4</v>
      </c>
      <c r="I34">
        <f>G34/D34</f>
        <v>3.8568008665495487E-4</v>
      </c>
    </row>
    <row r="35" spans="2:9" x14ac:dyDescent="0.25">
      <c r="B35" t="s">
        <v>20</v>
      </c>
      <c r="C35" t="s">
        <v>58</v>
      </c>
      <c r="D35">
        <v>16</v>
      </c>
      <c r="E35">
        <v>7.5424699999999998</v>
      </c>
      <c r="F35" s="18">
        <v>3.5214769999999999E-3</v>
      </c>
      <c r="G35" s="10">
        <v>3.90625E-3</v>
      </c>
      <c r="H35">
        <f>F35/E35</f>
        <v>4.6688644436106472E-4</v>
      </c>
      <c r="I35">
        <f>G35/D35</f>
        <v>2.44140625E-4</v>
      </c>
    </row>
    <row r="36" spans="2:9" x14ac:dyDescent="0.25">
      <c r="B36" t="s">
        <v>26</v>
      </c>
      <c r="C36" t="s">
        <v>58</v>
      </c>
      <c r="D36">
        <v>3.6371899999999999</v>
      </c>
      <c r="E36">
        <v>2.4237799999999998</v>
      </c>
      <c r="F36" s="18">
        <v>1.4221768999999999E-3</v>
      </c>
      <c r="G36" s="10">
        <v>2.0982599999999998E-3</v>
      </c>
      <c r="H36">
        <f>F36/E36</f>
        <v>5.8675989570010475E-4</v>
      </c>
      <c r="I36">
        <f>G36/D36</f>
        <v>5.7689040165622362E-4</v>
      </c>
    </row>
    <row r="37" spans="2:9" x14ac:dyDescent="0.25">
      <c r="B37" t="s">
        <v>31</v>
      </c>
      <c r="C37" t="s">
        <v>58</v>
      </c>
      <c r="D37">
        <v>1</v>
      </c>
      <c r="E37">
        <v>0.79159199999999996</v>
      </c>
      <c r="F37" s="21">
        <v>8.0562045649999997E-4</v>
      </c>
      <c r="G37" s="10">
        <v>1.3414500000000001E-3</v>
      </c>
      <c r="H37">
        <f>F37/E37</f>
        <v>1.0177218270270543E-3</v>
      </c>
      <c r="I37">
        <f>G37/D37</f>
        <v>1.3414500000000001E-3</v>
      </c>
    </row>
    <row r="38" spans="2:9" x14ac:dyDescent="0.25">
      <c r="B38" t="s">
        <v>100</v>
      </c>
      <c r="C38" t="s">
        <v>58</v>
      </c>
      <c r="D38">
        <v>14.5488</v>
      </c>
      <c r="E38">
        <v>7.2279299999999997</v>
      </c>
      <c r="F38" s="21">
        <v>1.54138E-2</v>
      </c>
      <c r="G38" s="11">
        <v>3.2223799999999997E-2</v>
      </c>
      <c r="H38">
        <f>F38/E38</f>
        <v>2.1325331042220939E-3</v>
      </c>
      <c r="I38">
        <f>G38/D38</f>
        <v>2.2148768283294842E-3</v>
      </c>
    </row>
    <row r="39" spans="2:9" x14ac:dyDescent="0.25">
      <c r="B39" t="s">
        <v>30</v>
      </c>
      <c r="C39" t="s">
        <v>58</v>
      </c>
      <c r="D39">
        <v>3.32917</v>
      </c>
      <c r="E39">
        <v>1.1861299999999999</v>
      </c>
      <c r="F39" s="18">
        <v>3.2761853000000001E-3</v>
      </c>
      <c r="G39" s="10">
        <v>4.99725E-3</v>
      </c>
      <c r="H39">
        <f>F39/E39</f>
        <v>2.7620794516621285E-3</v>
      </c>
      <c r="I39">
        <f>G39/D39</f>
        <v>1.5010498112142064E-3</v>
      </c>
    </row>
    <row r="40" spans="2:9" x14ac:dyDescent="0.25">
      <c r="B40" t="s">
        <v>23</v>
      </c>
      <c r="C40" t="s">
        <v>58</v>
      </c>
      <c r="D40">
        <v>1</v>
      </c>
      <c r="E40">
        <v>1.0905</v>
      </c>
      <c r="F40" s="18">
        <v>1.07153791E-2</v>
      </c>
      <c r="G40" s="10">
        <v>4.0119500000000002E-2</v>
      </c>
      <c r="H40">
        <f>F40/E40</f>
        <v>9.8261156350298029E-3</v>
      </c>
      <c r="I40">
        <f>G40/D40</f>
        <v>4.0119500000000002E-2</v>
      </c>
    </row>
    <row r="41" spans="2:9" x14ac:dyDescent="0.25">
      <c r="B41" t="s">
        <v>28</v>
      </c>
      <c r="C41" t="s">
        <v>58</v>
      </c>
      <c r="D41">
        <v>7.2743799999999998</v>
      </c>
      <c r="E41">
        <v>4.1083800000000004</v>
      </c>
      <c r="F41" s="18">
        <v>4.7919436900000001E-2</v>
      </c>
      <c r="G41" s="10">
        <v>0.10125000000000001</v>
      </c>
      <c r="H41">
        <f>F41/E41</f>
        <v>1.1663827810475175E-2</v>
      </c>
      <c r="I41">
        <f>G41/D41</f>
        <v>1.3918711972704204E-2</v>
      </c>
    </row>
    <row r="42" spans="2:9" x14ac:dyDescent="0.25">
      <c r="B42" t="s">
        <v>27</v>
      </c>
      <c r="C42" t="s">
        <v>58</v>
      </c>
      <c r="D42">
        <v>1.66459</v>
      </c>
      <c r="E42">
        <v>0.72476700000000005</v>
      </c>
      <c r="F42" s="18">
        <v>0.12833431819999999</v>
      </c>
      <c r="G42" s="10">
        <v>0.18201800000000001</v>
      </c>
      <c r="H42">
        <f>F42/E42</f>
        <v>0.1770697592467648</v>
      </c>
      <c r="I42">
        <f>G42/D42</f>
        <v>0.10934704641983913</v>
      </c>
    </row>
    <row r="43" spans="2:9" x14ac:dyDescent="0.25">
      <c r="B43" s="24" t="s">
        <v>101</v>
      </c>
      <c r="C43" t="s">
        <v>58</v>
      </c>
      <c r="D43">
        <v>6.6583500000000004</v>
      </c>
      <c r="E43">
        <v>2.15544</v>
      </c>
      <c r="F43" s="21">
        <v>2.2121300000000002</v>
      </c>
      <c r="G43" s="11">
        <v>4.0001499999999997</v>
      </c>
      <c r="H43">
        <f>F43/E43</f>
        <v>1.0263008944809413</v>
      </c>
      <c r="I43">
        <f>G43/D43</f>
        <v>0.60077196302387215</v>
      </c>
    </row>
    <row r="44" spans="2:9" x14ac:dyDescent="0.25">
      <c r="B44" s="24"/>
      <c r="F44" s="25"/>
      <c r="G44" s="25"/>
    </row>
    <row r="45" spans="2:9" x14ac:dyDescent="0.25">
      <c r="B45" s="26" t="s">
        <v>20</v>
      </c>
      <c r="C45" t="s">
        <v>102</v>
      </c>
      <c r="D45">
        <v>16</v>
      </c>
      <c r="E45">
        <v>7.5424699999999998</v>
      </c>
      <c r="F45" s="25">
        <v>0.71568299999999996</v>
      </c>
      <c r="G45" s="25">
        <v>0.81450599999999995</v>
      </c>
      <c r="H45" s="25">
        <f t="shared" ref="H45:H55" si="2">F45/E45</f>
        <v>9.488708606066712E-2</v>
      </c>
      <c r="I45" s="25">
        <f t="shared" ref="I45:I55" si="3">G45/D45</f>
        <v>5.0906624999999997E-2</v>
      </c>
    </row>
    <row r="46" spans="2:9" x14ac:dyDescent="0.25">
      <c r="B46" s="26" t="s">
        <v>33</v>
      </c>
      <c r="C46" t="s">
        <v>102</v>
      </c>
      <c r="D46">
        <v>1.0986100000000001</v>
      </c>
      <c r="E46">
        <v>1.01448</v>
      </c>
      <c r="F46" s="25">
        <v>1.4234200000000001E-2</v>
      </c>
      <c r="G46" s="25">
        <v>1.61619E-2</v>
      </c>
      <c r="H46" s="25">
        <f>F46/E46</f>
        <v>1.403103067581421E-2</v>
      </c>
      <c r="I46" s="25">
        <f>G46/D46</f>
        <v>1.4711226003768396E-2</v>
      </c>
    </row>
    <row r="47" spans="2:9" x14ac:dyDescent="0.25">
      <c r="B47" s="26" t="s">
        <v>24</v>
      </c>
      <c r="C47" t="s">
        <v>102</v>
      </c>
      <c r="D47">
        <v>1</v>
      </c>
      <c r="E47">
        <v>0.90044400000000002</v>
      </c>
      <c r="F47" s="25">
        <v>1.3997900000000001E-2</v>
      </c>
      <c r="G47" s="25">
        <v>1.6111500000000001E-2</v>
      </c>
      <c r="H47" s="25">
        <f>F47/E47</f>
        <v>1.5545553082701424E-2</v>
      </c>
      <c r="I47" s="25">
        <f>G47/D47</f>
        <v>1.6111500000000001E-2</v>
      </c>
    </row>
    <row r="48" spans="2:9" x14ac:dyDescent="0.25">
      <c r="B48" t="s">
        <v>23</v>
      </c>
      <c r="C48" t="s">
        <v>102</v>
      </c>
      <c r="D48">
        <v>1</v>
      </c>
      <c r="E48">
        <v>1.0905</v>
      </c>
      <c r="F48" s="25">
        <v>2.42887E-2</v>
      </c>
      <c r="G48" s="25">
        <v>2.7747500000000001E-2</v>
      </c>
      <c r="H48" s="25">
        <f>F48/E48</f>
        <v>2.2272994039431452E-2</v>
      </c>
      <c r="I48" s="25">
        <f>G48/D48</f>
        <v>2.7747500000000001E-2</v>
      </c>
    </row>
    <row r="49" spans="2:9" x14ac:dyDescent="0.25">
      <c r="B49" s="26" t="s">
        <v>27</v>
      </c>
      <c r="C49" t="s">
        <v>102</v>
      </c>
      <c r="D49">
        <v>1.66459</v>
      </c>
      <c r="E49">
        <v>0.72476700000000005</v>
      </c>
      <c r="F49" s="25">
        <v>7.00292E-2</v>
      </c>
      <c r="G49" s="25">
        <v>8.9703099999999994E-2</v>
      </c>
      <c r="H49" s="25">
        <f>F49/E49</f>
        <v>9.6623052650024063E-2</v>
      </c>
      <c r="I49" s="25">
        <f>G49/D49</f>
        <v>5.3889005701103568E-2</v>
      </c>
    </row>
    <row r="50" spans="2:9" x14ac:dyDescent="0.25">
      <c r="B50" t="s">
        <v>26</v>
      </c>
      <c r="C50" t="s">
        <v>102</v>
      </c>
      <c r="D50">
        <v>3.6371899999999999</v>
      </c>
      <c r="E50">
        <v>2.4237799999999998</v>
      </c>
      <c r="F50" s="25">
        <v>0.35029399999999999</v>
      </c>
      <c r="G50" s="25">
        <v>0.40137400000000001</v>
      </c>
      <c r="H50" s="25">
        <f>F50/E50</f>
        <v>0.14452384292303758</v>
      </c>
      <c r="I50" s="25">
        <f>G50/D50</f>
        <v>0.11035277233248744</v>
      </c>
    </row>
    <row r="51" spans="2:9" x14ac:dyDescent="0.25">
      <c r="B51" t="s">
        <v>31</v>
      </c>
      <c r="C51" t="s">
        <v>102</v>
      </c>
      <c r="D51">
        <v>1</v>
      </c>
      <c r="E51">
        <v>0.79159199999999996</v>
      </c>
      <c r="F51" s="25">
        <v>0.12171700000000001</v>
      </c>
      <c r="G51" s="25">
        <v>0.14252100000000001</v>
      </c>
      <c r="H51" s="25">
        <f>F51/E51</f>
        <v>0.15376229168561584</v>
      </c>
      <c r="I51" s="25">
        <f>G51/D51</f>
        <v>0.14252100000000001</v>
      </c>
    </row>
    <row r="52" spans="2:9" x14ac:dyDescent="0.25">
      <c r="B52" t="s">
        <v>28</v>
      </c>
      <c r="C52" t="s">
        <v>102</v>
      </c>
      <c r="D52">
        <v>7.2743799999999998</v>
      </c>
      <c r="E52">
        <v>4.1083800000000004</v>
      </c>
      <c r="F52" s="25">
        <v>0.73629800000000001</v>
      </c>
      <c r="G52" s="25">
        <v>0.85371300000000006</v>
      </c>
      <c r="H52" s="25">
        <f>F52/E52</f>
        <v>0.17921857277077582</v>
      </c>
      <c r="I52" s="25">
        <f>G52/D52</f>
        <v>0.11735886769731579</v>
      </c>
    </row>
    <row r="53" spans="2:9" x14ac:dyDescent="0.25">
      <c r="B53" t="s">
        <v>100</v>
      </c>
      <c r="C53" t="s">
        <v>102</v>
      </c>
      <c r="D53">
        <v>14.5488</v>
      </c>
      <c r="E53">
        <v>7.2279299999999997</v>
      </c>
      <c r="F53" s="25">
        <v>1.9857499999999999</v>
      </c>
      <c r="G53" s="25">
        <v>4.9407800000000002</v>
      </c>
      <c r="H53" s="25">
        <f>F53/E53</f>
        <v>0.27473287649437667</v>
      </c>
      <c r="I53" s="25">
        <f>G53/D53</f>
        <v>0.33960051688111736</v>
      </c>
    </row>
    <row r="54" spans="2:9" x14ac:dyDescent="0.25">
      <c r="B54" s="29" t="s">
        <v>101</v>
      </c>
      <c r="C54" t="s">
        <v>102</v>
      </c>
      <c r="D54">
        <v>6.6583500000000004</v>
      </c>
      <c r="E54">
        <v>2.15544</v>
      </c>
      <c r="F54" s="25">
        <v>0.67361000000000004</v>
      </c>
      <c r="G54" s="25">
        <v>1.68913</v>
      </c>
      <c r="H54" s="25">
        <f>F54/E54</f>
        <v>0.31251623798389194</v>
      </c>
      <c r="I54" s="25">
        <f>G54/D54</f>
        <v>0.25368597325163139</v>
      </c>
    </row>
    <row r="55" spans="2:9" x14ac:dyDescent="0.25">
      <c r="B55" s="30" t="s">
        <v>30</v>
      </c>
      <c r="C55" t="s">
        <v>102</v>
      </c>
      <c r="D55">
        <v>3.32917</v>
      </c>
      <c r="E55">
        <v>1.1861299999999999</v>
      </c>
      <c r="F55" s="25">
        <v>0.59071700000000005</v>
      </c>
      <c r="G55" s="25">
        <v>0.68732300000000002</v>
      </c>
      <c r="H55" s="25">
        <f>F55/E55</f>
        <v>0.49802045307006826</v>
      </c>
      <c r="I55" s="25">
        <f>G55/D55</f>
        <v>0.20645476199773519</v>
      </c>
    </row>
    <row r="56" spans="2:9" x14ac:dyDescent="0.25">
      <c r="B56" s="24"/>
      <c r="F56" s="25"/>
      <c r="G56" s="25"/>
    </row>
    <row r="57" spans="2:9" x14ac:dyDescent="0.25">
      <c r="B57" s="24"/>
      <c r="F57" s="25"/>
      <c r="G57" s="25"/>
    </row>
    <row r="58" spans="2:9" x14ac:dyDescent="0.25">
      <c r="B58" s="24"/>
      <c r="F58" s="25"/>
      <c r="G58" s="25"/>
    </row>
    <row r="84" spans="2:9" s="28" customFormat="1" x14ac:dyDescent="0.25"/>
    <row r="86" spans="2:9" x14ac:dyDescent="0.25">
      <c r="B86" t="s">
        <v>104</v>
      </c>
    </row>
    <row r="87" spans="2:9" x14ac:dyDescent="0.25">
      <c r="B87" s="4" t="s">
        <v>12</v>
      </c>
      <c r="C87" s="4" t="s">
        <v>13</v>
      </c>
      <c r="D87" s="4" t="s">
        <v>96</v>
      </c>
      <c r="E87" s="4" t="s">
        <v>97</v>
      </c>
      <c r="F87" s="4" t="s">
        <v>16</v>
      </c>
      <c r="G87" s="4" t="s">
        <v>17</v>
      </c>
      <c r="H87" s="4" t="s">
        <v>98</v>
      </c>
      <c r="I87" s="4" t="s">
        <v>99</v>
      </c>
    </row>
    <row r="88" spans="2:9" x14ac:dyDescent="0.25">
      <c r="B88" s="5" t="s">
        <v>20</v>
      </c>
      <c r="C88" s="5" t="s">
        <v>60</v>
      </c>
      <c r="D88" s="5">
        <v>16</v>
      </c>
      <c r="E88" s="5">
        <v>7.5424699999999998</v>
      </c>
      <c r="F88" s="20">
        <v>7.9057299999999997E-3</v>
      </c>
      <c r="G88" s="13">
        <v>3.5156300000000001E-2</v>
      </c>
      <c r="H88" s="23">
        <f t="shared" ref="H88:H96" si="4">F88/E88</f>
        <v>1.048161941645111E-3</v>
      </c>
      <c r="I88" s="23">
        <f t="shared" ref="I88:I96" si="5">G88/D88</f>
        <v>2.1972687500000001E-3</v>
      </c>
    </row>
    <row r="89" spans="2:9" x14ac:dyDescent="0.25">
      <c r="B89" s="6"/>
      <c r="C89" s="6" t="s">
        <v>61</v>
      </c>
      <c r="D89" s="6">
        <v>16</v>
      </c>
      <c r="E89" s="6">
        <v>7.5424699999999998</v>
      </c>
      <c r="F89" s="20">
        <v>8.9272299999999995E-3</v>
      </c>
      <c r="G89" s="12">
        <v>1.1580699999999999E-2</v>
      </c>
      <c r="H89" s="6">
        <f t="shared" si="4"/>
        <v>1.1835950292145676E-3</v>
      </c>
      <c r="I89" s="23">
        <f t="shared" si="5"/>
        <v>7.2379374999999996E-4</v>
      </c>
    </row>
    <row r="90" spans="2:9" x14ac:dyDescent="0.25">
      <c r="B90" s="5"/>
      <c r="C90" s="5" t="s">
        <v>63</v>
      </c>
      <c r="D90" s="5">
        <v>16</v>
      </c>
      <c r="E90" s="5">
        <v>7.5424699999999998</v>
      </c>
      <c r="F90" s="20">
        <v>4.4641500000000001E-2</v>
      </c>
      <c r="G90" s="9">
        <v>5.31072E-2</v>
      </c>
      <c r="H90" s="6">
        <f t="shared" si="4"/>
        <v>5.9186844627820865E-3</v>
      </c>
      <c r="I90" s="23">
        <f t="shared" si="5"/>
        <v>3.3192E-3</v>
      </c>
    </row>
    <row r="91" spans="2:9" x14ac:dyDescent="0.25">
      <c r="B91" s="6"/>
      <c r="C91" s="6" t="s">
        <v>64</v>
      </c>
      <c r="D91" s="6">
        <v>16</v>
      </c>
      <c r="E91" s="6">
        <v>7.5424699999999998</v>
      </c>
      <c r="F91" s="22">
        <v>9.0124979999999994E-5</v>
      </c>
      <c r="G91" s="8">
        <v>1E-4</v>
      </c>
      <c r="H91" s="23">
        <f t="shared" si="4"/>
        <v>1.1949000791517898E-5</v>
      </c>
      <c r="I91" s="23">
        <f t="shared" si="5"/>
        <v>6.2500000000000003E-6</v>
      </c>
    </row>
    <row r="92" spans="2:9" x14ac:dyDescent="0.25">
      <c r="B92" s="5"/>
      <c r="C92" s="5" t="s">
        <v>65</v>
      </c>
      <c r="D92" s="5">
        <v>16</v>
      </c>
      <c r="E92" s="5">
        <v>7.5424699999999998</v>
      </c>
      <c r="F92" s="20">
        <v>5.6253900000000003E-2</v>
      </c>
      <c r="G92" s="13">
        <v>6.2385000000000003E-2</v>
      </c>
      <c r="H92" s="6">
        <f t="shared" si="4"/>
        <v>7.4582862112809204E-3</v>
      </c>
      <c r="I92" s="6">
        <f t="shared" si="5"/>
        <v>3.8990625000000002E-3</v>
      </c>
    </row>
    <row r="93" spans="2:9" x14ac:dyDescent="0.25">
      <c r="B93" s="6"/>
      <c r="C93" s="6" t="s">
        <v>66</v>
      </c>
      <c r="D93" s="6">
        <v>16</v>
      </c>
      <c r="E93" s="6">
        <v>7.5424699999999998</v>
      </c>
      <c r="F93" s="20">
        <v>5.6334099999999998E-2</v>
      </c>
      <c r="G93" s="8">
        <v>6.2493699999999999E-2</v>
      </c>
      <c r="H93" s="6">
        <f t="shared" si="4"/>
        <v>7.4689193327915123E-3</v>
      </c>
      <c r="I93" s="6">
        <f t="shared" si="5"/>
        <v>3.90585625E-3</v>
      </c>
    </row>
    <row r="94" spans="2:9" x14ac:dyDescent="0.25">
      <c r="B94" s="5"/>
      <c r="C94" s="5" t="s">
        <v>67</v>
      </c>
      <c r="D94" s="5">
        <v>16</v>
      </c>
      <c r="E94" s="5">
        <v>7.5424699999999998</v>
      </c>
      <c r="F94" s="20">
        <v>6.5919699999999999E-3</v>
      </c>
      <c r="G94" s="13">
        <v>1.2696000000000001E-2</v>
      </c>
      <c r="H94" s="23">
        <f t="shared" si="4"/>
        <v>8.7398027436635484E-4</v>
      </c>
      <c r="I94" s="23">
        <f t="shared" si="5"/>
        <v>7.9350000000000004E-4</v>
      </c>
    </row>
    <row r="95" spans="2:9" x14ac:dyDescent="0.25">
      <c r="B95" s="6"/>
      <c r="C95" s="6" t="s">
        <v>69</v>
      </c>
      <c r="D95" s="6">
        <v>16</v>
      </c>
      <c r="E95" s="6">
        <v>7.5424699999999998</v>
      </c>
      <c r="F95" s="20">
        <v>3.0287700000000001E-4</v>
      </c>
      <c r="G95" s="13">
        <v>3.0127000000000001E-2</v>
      </c>
      <c r="H95" s="6">
        <f t="shared" si="4"/>
        <v>4.0156208775109484E-5</v>
      </c>
      <c r="I95" s="6">
        <f t="shared" si="5"/>
        <v>1.8829375000000001E-3</v>
      </c>
    </row>
    <row r="96" spans="2:9" x14ac:dyDescent="0.25">
      <c r="B96" s="5"/>
      <c r="C96" s="5" t="s">
        <v>70</v>
      </c>
      <c r="D96" s="5">
        <v>16</v>
      </c>
      <c r="E96" s="5">
        <v>7.5424699999999998</v>
      </c>
      <c r="F96" s="20">
        <v>3.2951299999999998E-3</v>
      </c>
      <c r="G96" s="8">
        <v>5.4660300000000002E-3</v>
      </c>
      <c r="H96" s="6">
        <f t="shared" si="4"/>
        <v>4.3687677909226021E-4</v>
      </c>
      <c r="I96" s="6">
        <f t="shared" si="5"/>
        <v>3.4162687500000001E-4</v>
      </c>
    </row>
    <row r="97" spans="2:9" x14ac:dyDescent="0.25">
      <c r="B97" s="6"/>
      <c r="C97" s="6"/>
      <c r="D97" s="6"/>
      <c r="E97" s="6"/>
      <c r="F97" s="6"/>
      <c r="G97" s="6"/>
      <c r="H97" s="6"/>
      <c r="I97" s="6"/>
    </row>
    <row r="98" spans="2:9" x14ac:dyDescent="0.25">
      <c r="B98" s="5"/>
      <c r="C98" s="5"/>
      <c r="D98" s="5"/>
      <c r="E98" s="5"/>
      <c r="F98" s="5"/>
      <c r="G98" s="6"/>
      <c r="H98" s="6"/>
      <c r="I98" s="6"/>
    </row>
    <row r="99" spans="2:9" x14ac:dyDescent="0.25">
      <c r="B99" s="6" t="s">
        <v>33</v>
      </c>
      <c r="C99" s="6" t="s">
        <v>60</v>
      </c>
      <c r="D99" s="6">
        <v>1.01448</v>
      </c>
      <c r="E99" s="6">
        <v>1.0291699999999999</v>
      </c>
      <c r="F99" s="20">
        <v>7.6525100000000004E-3</v>
      </c>
      <c r="G99" s="13">
        <v>1.53099E-2</v>
      </c>
      <c r="H99" s="23">
        <f t="shared" ref="H99:H107" si="6">F99/E99</f>
        <v>7.4356131640059475E-3</v>
      </c>
      <c r="I99" s="23">
        <f t="shared" ref="I99:I107" si="7">G99/D99</f>
        <v>1.509137686302342E-2</v>
      </c>
    </row>
    <row r="100" spans="2:9" x14ac:dyDescent="0.25">
      <c r="B100" s="5"/>
      <c r="C100" s="5" t="s">
        <v>61</v>
      </c>
      <c r="D100" s="5">
        <v>1.01448</v>
      </c>
      <c r="E100" s="5">
        <v>1.0291699999999999</v>
      </c>
      <c r="F100" s="20">
        <v>6.04025E-4</v>
      </c>
      <c r="G100" s="13">
        <v>1.13956E-3</v>
      </c>
      <c r="H100" s="23">
        <f t="shared" si="6"/>
        <v>5.8690498168426986E-4</v>
      </c>
      <c r="I100" s="23">
        <f t="shared" si="7"/>
        <v>1.1232946928475672E-3</v>
      </c>
    </row>
    <row r="101" spans="2:9" x14ac:dyDescent="0.25">
      <c r="B101" s="6"/>
      <c r="C101" s="6" t="s">
        <v>63</v>
      </c>
      <c r="D101" s="6">
        <v>1.01448</v>
      </c>
      <c r="E101" s="6">
        <v>1.0291699999999999</v>
      </c>
      <c r="F101" s="20">
        <v>1.5771100000000001E-3</v>
      </c>
      <c r="G101" s="8">
        <v>2.5086000000000002E-3</v>
      </c>
      <c r="H101" s="23">
        <f t="shared" si="6"/>
        <v>1.5324096116287884E-3</v>
      </c>
      <c r="I101" s="23">
        <f t="shared" si="7"/>
        <v>2.4727939436952921E-3</v>
      </c>
    </row>
    <row r="102" spans="2:9" x14ac:dyDescent="0.25">
      <c r="B102" s="5"/>
      <c r="C102" s="5" t="s">
        <v>64</v>
      </c>
      <c r="D102" s="5">
        <v>1.01448</v>
      </c>
      <c r="E102" s="5">
        <v>1.0291699999999999</v>
      </c>
      <c r="F102" s="22">
        <v>6.5304399999999996E-6</v>
      </c>
      <c r="G102" s="9">
        <v>2.0490299999999999E-5</v>
      </c>
      <c r="H102" s="23">
        <f t="shared" si="6"/>
        <v>6.3453462498906886E-6</v>
      </c>
      <c r="I102" s="23">
        <f t="shared" si="7"/>
        <v>2.0197835344215756E-5</v>
      </c>
    </row>
    <row r="103" spans="2:9" x14ac:dyDescent="0.25">
      <c r="B103" s="6"/>
      <c r="C103" s="6" t="s">
        <v>65</v>
      </c>
      <c r="D103" s="6">
        <v>1.01448</v>
      </c>
      <c r="E103" s="6">
        <v>1.0291699999999999</v>
      </c>
      <c r="F103" s="20">
        <v>2.3321100000000001E-3</v>
      </c>
      <c r="G103" s="8">
        <v>3.63021E-3</v>
      </c>
      <c r="H103" s="23">
        <f t="shared" si="6"/>
        <v>2.2660104744600018E-3</v>
      </c>
      <c r="I103" s="23">
        <f t="shared" si="7"/>
        <v>3.5783948426780219E-3</v>
      </c>
    </row>
    <row r="104" spans="2:9" x14ac:dyDescent="0.25">
      <c r="B104" s="5"/>
      <c r="C104" s="5" t="s">
        <v>66</v>
      </c>
      <c r="D104" s="5">
        <v>1.01448</v>
      </c>
      <c r="E104" s="5">
        <v>1.0291699999999999</v>
      </c>
      <c r="F104" s="20">
        <v>2.33906E-3</v>
      </c>
      <c r="G104" s="13">
        <v>3.6408E-3</v>
      </c>
      <c r="H104" s="23">
        <f t="shared" si="6"/>
        <v>2.2727634890251369E-3</v>
      </c>
      <c r="I104" s="23">
        <f t="shared" si="7"/>
        <v>3.5888336881949373E-3</v>
      </c>
    </row>
    <row r="105" spans="2:9" x14ac:dyDescent="0.25">
      <c r="B105" s="6"/>
      <c r="C105" s="6" t="s">
        <v>67</v>
      </c>
      <c r="D105" s="6">
        <v>1.01448</v>
      </c>
      <c r="E105" s="6">
        <v>1.0291699999999999</v>
      </c>
      <c r="F105" s="22">
        <v>1.0848099999999999E-4</v>
      </c>
      <c r="G105" s="8">
        <v>1.9908600000000001E-4</v>
      </c>
      <c r="H105" s="23">
        <f t="shared" si="6"/>
        <v>1.0540629827919586E-4</v>
      </c>
      <c r="I105" s="23">
        <f t="shared" si="7"/>
        <v>1.9624438135793708E-4</v>
      </c>
    </row>
    <row r="106" spans="2:9" x14ac:dyDescent="0.25">
      <c r="B106" s="5"/>
      <c r="C106" s="5" t="s">
        <v>69</v>
      </c>
      <c r="D106" s="5">
        <v>1.01448</v>
      </c>
      <c r="E106" s="5">
        <v>1.0291699999999999</v>
      </c>
      <c r="F106" s="22">
        <v>1.19762E-4</v>
      </c>
      <c r="G106" s="8">
        <v>1.7186100000000001E-4</v>
      </c>
      <c r="H106" s="23">
        <f t="shared" si="6"/>
        <v>1.1636755832369775E-4</v>
      </c>
      <c r="I106" s="23">
        <f t="shared" si="7"/>
        <v>1.694079725573693E-4</v>
      </c>
    </row>
    <row r="107" spans="2:9" x14ac:dyDescent="0.25">
      <c r="B107" s="6"/>
      <c r="C107" s="6" t="s">
        <v>70</v>
      </c>
      <c r="D107" s="6">
        <v>1.01448</v>
      </c>
      <c r="E107" s="6">
        <v>1.0291699999999999</v>
      </c>
      <c r="F107" s="22">
        <v>7.11307E-5</v>
      </c>
      <c r="G107" s="9">
        <v>1.5049700000000001E-4</v>
      </c>
      <c r="H107" s="23">
        <f t="shared" si="6"/>
        <v>6.9114626349388346E-5</v>
      </c>
      <c r="I107" s="23">
        <f t="shared" si="7"/>
        <v>1.4834890781484109E-4</v>
      </c>
    </row>
    <row r="112" spans="2:9" x14ac:dyDescent="0.25">
      <c r="B112" t="s">
        <v>105</v>
      </c>
    </row>
    <row r="113" spans="2:9" x14ac:dyDescent="0.25">
      <c r="B113" s="4" t="s">
        <v>12</v>
      </c>
      <c r="C113" s="4" t="s">
        <v>13</v>
      </c>
      <c r="D113" s="4" t="s">
        <v>96</v>
      </c>
      <c r="E113" s="4" t="s">
        <v>97</v>
      </c>
      <c r="F113" s="4" t="s">
        <v>16</v>
      </c>
      <c r="G113" s="4" t="s">
        <v>17</v>
      </c>
      <c r="H113" s="4" t="s">
        <v>98</v>
      </c>
      <c r="I113" s="4" t="s">
        <v>99</v>
      </c>
    </row>
    <row r="114" spans="2:9" x14ac:dyDescent="0.25">
      <c r="B114" s="5" t="s">
        <v>20</v>
      </c>
      <c r="C114" s="5" t="s">
        <v>60</v>
      </c>
      <c r="D114" s="5">
        <v>16</v>
      </c>
      <c r="E114" s="5">
        <v>7.5424699999999998</v>
      </c>
      <c r="F114" s="13">
        <v>2.21595E-4</v>
      </c>
      <c r="G114" s="13">
        <v>2.4914099999999998E-4</v>
      </c>
      <c r="H114" s="23">
        <f t="shared" ref="H114:H122" si="8">F114/E114</f>
        <v>2.9379632931917527E-5</v>
      </c>
      <c r="I114" s="23">
        <f t="shared" ref="I114:I122" si="9">G114/D114</f>
        <v>1.5571312499999999E-5</v>
      </c>
    </row>
    <row r="115" spans="2:9" x14ac:dyDescent="0.25">
      <c r="B115" s="6"/>
      <c r="C115" s="6" t="s">
        <v>61</v>
      </c>
      <c r="D115" s="6">
        <v>16</v>
      </c>
      <c r="E115" s="6">
        <v>7.5424699999999998</v>
      </c>
      <c r="F115" s="13">
        <v>8.3227700000000002E-3</v>
      </c>
      <c r="G115" s="12">
        <v>9.5392299999999992E-3</v>
      </c>
      <c r="H115" s="6">
        <f t="shared" si="8"/>
        <v>1.103454173500193E-3</v>
      </c>
      <c r="I115" s="23">
        <f t="shared" si="9"/>
        <v>5.9620187499999995E-4</v>
      </c>
    </row>
    <row r="116" spans="2:9" x14ac:dyDescent="0.25">
      <c r="B116" s="5"/>
      <c r="C116" s="5" t="s">
        <v>63</v>
      </c>
      <c r="D116" s="5">
        <v>16</v>
      </c>
      <c r="E116" s="5">
        <v>7.5424699999999998</v>
      </c>
      <c r="F116" s="13">
        <v>3.5069999999999997E-2</v>
      </c>
      <c r="G116" s="12">
        <v>4.1006300000000002E-2</v>
      </c>
      <c r="H116" s="6">
        <f t="shared" si="8"/>
        <v>4.6496704660409652E-3</v>
      </c>
      <c r="I116" s="23">
        <f t="shared" si="9"/>
        <v>2.5628937500000002E-3</v>
      </c>
    </row>
    <row r="117" spans="2:9" x14ac:dyDescent="0.25">
      <c r="B117" s="6"/>
      <c r="C117" s="6" t="s">
        <v>64</v>
      </c>
      <c r="D117" s="6">
        <v>16</v>
      </c>
      <c r="E117" s="6">
        <v>7.5424699999999998</v>
      </c>
      <c r="F117" s="12">
        <v>9.0149799999999995E-5</v>
      </c>
      <c r="G117" s="13">
        <v>1E-4</v>
      </c>
      <c r="H117" s="23">
        <f t="shared" si="8"/>
        <v>1.1952291490718558E-5</v>
      </c>
      <c r="I117" s="23">
        <f t="shared" si="9"/>
        <v>6.2500000000000003E-6</v>
      </c>
    </row>
    <row r="118" spans="2:9" x14ac:dyDescent="0.25">
      <c r="B118" s="5"/>
      <c r="C118" s="5" t="s">
        <v>65</v>
      </c>
      <c r="D118" s="5">
        <v>16</v>
      </c>
      <c r="E118" s="5">
        <v>7.5424699999999998</v>
      </c>
      <c r="F118" s="13">
        <v>5.60902E-2</v>
      </c>
      <c r="G118" s="13">
        <v>6.2250100000000003E-2</v>
      </c>
      <c r="H118" s="6">
        <f t="shared" si="8"/>
        <v>7.4365824458035631E-3</v>
      </c>
      <c r="I118" s="6">
        <f t="shared" si="9"/>
        <v>3.8906312500000002E-3</v>
      </c>
    </row>
    <row r="119" spans="2:9" x14ac:dyDescent="0.25">
      <c r="B119" s="6"/>
      <c r="C119" s="6" t="s">
        <v>66</v>
      </c>
      <c r="D119" s="6">
        <v>16</v>
      </c>
      <c r="E119" s="6">
        <v>7.5424699999999998</v>
      </c>
      <c r="F119" s="13">
        <v>1.5858700000000001E-3</v>
      </c>
      <c r="G119" s="13">
        <v>6.2475000000000003E-2</v>
      </c>
      <c r="H119" s="6">
        <f t="shared" si="8"/>
        <v>2.1025870835415987E-4</v>
      </c>
      <c r="I119" s="6">
        <f t="shared" si="9"/>
        <v>3.9046875000000002E-3</v>
      </c>
    </row>
    <row r="120" spans="2:9" x14ac:dyDescent="0.25">
      <c r="B120" s="5"/>
      <c r="C120" s="5" t="s">
        <v>67</v>
      </c>
      <c r="D120" s="5">
        <v>16</v>
      </c>
      <c r="E120" s="5">
        <v>7.5424699999999998</v>
      </c>
      <c r="F120" s="13">
        <v>4.00775E-3</v>
      </c>
      <c r="G120" s="13">
        <v>1E-4</v>
      </c>
      <c r="H120" s="23">
        <f t="shared" si="8"/>
        <v>5.3135776476406272E-4</v>
      </c>
      <c r="I120" s="23">
        <f t="shared" si="9"/>
        <v>6.2500000000000003E-6</v>
      </c>
    </row>
    <row r="121" spans="2:9" x14ac:dyDescent="0.25">
      <c r="B121" s="6"/>
      <c r="C121" s="6" t="s">
        <v>69</v>
      </c>
      <c r="D121" s="6">
        <v>16</v>
      </c>
      <c r="E121" s="6">
        <v>7.5424699999999998</v>
      </c>
      <c r="F121" s="13">
        <v>1.1058999999999999E-2</v>
      </c>
      <c r="G121" s="13">
        <v>1.9775399999999999E-2</v>
      </c>
      <c r="H121" s="6">
        <f t="shared" si="8"/>
        <v>1.4662305584244948E-3</v>
      </c>
      <c r="I121" s="6">
        <f t="shared" si="9"/>
        <v>1.2359624999999999E-3</v>
      </c>
    </row>
    <row r="122" spans="2:9" x14ac:dyDescent="0.25">
      <c r="B122" s="5"/>
      <c r="C122" s="5" t="s">
        <v>70</v>
      </c>
      <c r="D122" s="5">
        <v>16</v>
      </c>
      <c r="E122" s="5">
        <v>7.5424699999999998</v>
      </c>
      <c r="F122" s="13">
        <v>2.4900600000000001E-3</v>
      </c>
      <c r="G122" s="13">
        <v>3.90625E-3</v>
      </c>
      <c r="H122" s="6">
        <f t="shared" si="8"/>
        <v>3.3013853551953145E-4</v>
      </c>
      <c r="I122" s="6">
        <f t="shared" si="9"/>
        <v>2.44140625E-4</v>
      </c>
    </row>
    <row r="123" spans="2:9" x14ac:dyDescent="0.25">
      <c r="B123" s="6"/>
      <c r="C123" s="6"/>
      <c r="D123" s="6"/>
      <c r="E123" s="6"/>
      <c r="F123" s="6"/>
      <c r="G123" s="6"/>
      <c r="H123" s="6"/>
      <c r="I123" s="6"/>
    </row>
    <row r="124" spans="2:9" x14ac:dyDescent="0.25">
      <c r="B124" s="5"/>
      <c r="C124" s="5" t="s">
        <v>89</v>
      </c>
      <c r="D124" s="5"/>
      <c r="E124" s="5"/>
      <c r="F124" s="6"/>
      <c r="G124" s="6"/>
      <c r="H124" s="6"/>
      <c r="I124" s="6"/>
    </row>
    <row r="125" spans="2:9" x14ac:dyDescent="0.25">
      <c r="B125" s="6" t="s">
        <v>20</v>
      </c>
      <c r="C125" s="6" t="s">
        <v>90</v>
      </c>
      <c r="D125" s="6">
        <v>16</v>
      </c>
      <c r="E125" s="6">
        <v>7.5424699999999998</v>
      </c>
      <c r="F125" s="13">
        <v>1.7692700000000001E-3</v>
      </c>
      <c r="G125" s="13">
        <v>3.9060000000000002E-3</v>
      </c>
      <c r="H125" s="23">
        <f>F125/E125</f>
        <v>2.3457435031229825E-4</v>
      </c>
      <c r="I125" s="23">
        <f>G125/D125</f>
        <v>2.4412500000000001E-4</v>
      </c>
    </row>
    <row r="126" spans="2:9" x14ac:dyDescent="0.25">
      <c r="B126" s="5"/>
      <c r="C126" s="5" t="s">
        <v>91</v>
      </c>
      <c r="D126" s="5">
        <v>16</v>
      </c>
      <c r="E126" s="5">
        <v>7.5424699999999998</v>
      </c>
      <c r="F126" s="13">
        <v>0.10886</v>
      </c>
      <c r="G126" s="13">
        <v>0.15259300000000001</v>
      </c>
      <c r="H126" s="23">
        <f>F126/E126</f>
        <v>1.4432937751161092E-2</v>
      </c>
      <c r="I126" s="23">
        <f>G126/D126</f>
        <v>9.5370625000000004E-3</v>
      </c>
    </row>
    <row r="127" spans="2:9" x14ac:dyDescent="0.25">
      <c r="B127" s="6"/>
      <c r="C127" s="6" t="s">
        <v>92</v>
      </c>
      <c r="D127" s="6">
        <v>16</v>
      </c>
      <c r="E127" s="6">
        <v>7.5424699999999998</v>
      </c>
      <c r="F127" s="13">
        <v>2.6058399999999999E-2</v>
      </c>
      <c r="G127" s="13">
        <v>4.1006300000000002E-2</v>
      </c>
      <c r="H127" s="23">
        <f>F127/E127</f>
        <v>3.4548894460302792E-3</v>
      </c>
      <c r="I127" s="23">
        <f>G127/D127</f>
        <v>2.5628937500000002E-3</v>
      </c>
    </row>
    <row r="128" spans="2:9" x14ac:dyDescent="0.25">
      <c r="B128" s="5"/>
      <c r="C128" s="5" t="s">
        <v>93</v>
      </c>
      <c r="D128" s="5">
        <v>16</v>
      </c>
      <c r="E128" s="5">
        <v>7.5424699999999998</v>
      </c>
      <c r="F128" s="12">
        <v>6.4945599999999997E-4</v>
      </c>
      <c r="G128" s="12">
        <v>1E-4</v>
      </c>
      <c r="H128" s="23">
        <f>F128/E128</f>
        <v>8.6106540695554633E-5</v>
      </c>
      <c r="I128" s="23">
        <f>G128/D128</f>
        <v>6.2500000000000003E-6</v>
      </c>
    </row>
    <row r="129" spans="2:9" x14ac:dyDescent="0.25">
      <c r="B129" s="6"/>
      <c r="C129" s="6" t="s">
        <v>94</v>
      </c>
      <c r="D129" s="6">
        <v>16</v>
      </c>
      <c r="E129" s="6">
        <v>7.5424699999999998</v>
      </c>
      <c r="F129" s="13">
        <v>1.5730500000000001E-3</v>
      </c>
      <c r="G129" s="13">
        <v>6.2250100000000003E-2</v>
      </c>
      <c r="H129" s="23">
        <f>F129/E129</f>
        <v>2.0855899990321474E-4</v>
      </c>
      <c r="I129" s="23">
        <f>G129/D129</f>
        <v>3.8906312500000002E-3</v>
      </c>
    </row>
  </sheetData>
  <sortState xmlns:xlrd2="http://schemas.microsoft.com/office/spreadsheetml/2017/richdata2" ref="B46:I55">
    <sortCondition ref="H46:H5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Kreyszig &amp; Mhaskar data</vt:lpstr>
      <vt:lpstr>Cubic Spline Error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Cory Suzuki</dc:creator>
  <cp:keywords/>
  <dc:description/>
  <cp:lastModifiedBy>Cory Suzuki</cp:lastModifiedBy>
  <cp:revision/>
  <dcterms:created xsi:type="dcterms:W3CDTF">2023-01-24T00:51:10Z</dcterms:created>
  <dcterms:modified xsi:type="dcterms:W3CDTF">2023-03-20T06:57:20Z</dcterms:modified>
  <cp:category/>
  <cp:contentStatus/>
</cp:coreProperties>
</file>